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3.xml" ContentType="application/vnd.openxmlformats-officedocument.spreadsheetml.comments+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hD_Yearwise_Materials\PhD Year 2 Materials\Assistantship with Stanley Presser\"/>
    </mc:Choice>
  </mc:AlternateContent>
  <xr:revisionPtr revIDLastSave="0" documentId="13_ncr:1_{B8EB245B-9EA2-4263-8406-2E67AF57E730}" xr6:coauthVersionLast="47" xr6:coauthVersionMax="47" xr10:uidLastSave="{00000000-0000-0000-0000-000000000000}"/>
  <bookViews>
    <workbookView xWindow="-110" yWindow="-110" windowWidth="19420" windowHeight="10300" xr2:uid="{8EF9A366-5813-482A-AE13-6AC7944D8034}"/>
  </bookViews>
  <sheets>
    <sheet name="Bivariate results" sheetId="1" r:id="rId1"/>
    <sheet name="Multivariate results" sheetId="2" r:id="rId2"/>
    <sheet name="pivot tables for IVs" sheetId="3" r:id="rId3"/>
    <sheet name="Bivariate DV by IV" sheetId="6" r:id="rId4"/>
    <sheet name="Simple DV by IV" sheetId="10" r:id="rId5"/>
    <sheet name="No. of questions analyzed" sheetId="9" r:id="rId6"/>
    <sheet name="Weighted Bivariate DV by Iv" sheetId="8" r:id="rId7"/>
    <sheet name="extras" sheetId="11" r:id="rId8"/>
    <sheet name="Multivariate DV by IV" sheetId="7" r:id="rId9"/>
  </sheets>
  <definedNames>
    <definedName name="_xlnm._FilterDatabase" localSheetId="0" hidden="1">'Bivariate results'!$A$1:$DP$33</definedName>
    <definedName name="_xlnm._FilterDatabase" localSheetId="1" hidden="1">'Multivariate results'!$A$1:$BG$33</definedName>
    <definedName name="_xlcn.WorksheetConnection_BivariateresultsA1BH321" hidden="1">'Bivariate results'!$A$1:$BI$33</definedName>
  </definedNames>
  <calcPr calcId="191029"/>
  <pivotCaches>
    <pivotCache cacheId="0" r:id="rId10"/>
    <pivotCache cacheId="1" r:id="rId11"/>
    <pivotCache cacheId="2" r:id="rId12"/>
    <pivotCache cacheId="3" r:id="rId13"/>
    <pivotCache cacheId="4" r:id="rId14"/>
    <pivotCache cacheId="5"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Bivariate results!$A$1:$BH$3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A3" i="1" l="1"/>
  <c r="DA4" i="1"/>
  <c r="DA5" i="1"/>
  <c r="DA6" i="1"/>
  <c r="DA7" i="1"/>
  <c r="DA8" i="1"/>
  <c r="DA9" i="1"/>
  <c r="DA10" i="1"/>
  <c r="DA11" i="1"/>
  <c r="DA12" i="1"/>
  <c r="DA13" i="1"/>
  <c r="DA14" i="1"/>
  <c r="DA15" i="1"/>
  <c r="DA16" i="1"/>
  <c r="DA17" i="1"/>
  <c r="DA18" i="1"/>
  <c r="DA19" i="1"/>
  <c r="DA20" i="1"/>
  <c r="DA21" i="1"/>
  <c r="DA22" i="1"/>
  <c r="DM22" i="1" s="1"/>
  <c r="DA23" i="1"/>
  <c r="DA24" i="1"/>
  <c r="DA25" i="1"/>
  <c r="DA26" i="1"/>
  <c r="DA27" i="1"/>
  <c r="DA28" i="1"/>
  <c r="DA29" i="1"/>
  <c r="DA30" i="1"/>
  <c r="DA31" i="1"/>
  <c r="DA32" i="1"/>
  <c r="DA33" i="1"/>
  <c r="DA2" i="1"/>
  <c r="DK3" i="1"/>
  <c r="DK4" i="1"/>
  <c r="DK5" i="1"/>
  <c r="DK6" i="1"/>
  <c r="DK7" i="1"/>
  <c r="DK8" i="1"/>
  <c r="DK9" i="1"/>
  <c r="DK10" i="1"/>
  <c r="DK11" i="1"/>
  <c r="DK12" i="1"/>
  <c r="DK13" i="1"/>
  <c r="DK14" i="1"/>
  <c r="DK15" i="1"/>
  <c r="DK16" i="1"/>
  <c r="DK17" i="1"/>
  <c r="DK18" i="1"/>
  <c r="DK19" i="1"/>
  <c r="DK20" i="1"/>
  <c r="DK21" i="1"/>
  <c r="DK22" i="1"/>
  <c r="DK23" i="1"/>
  <c r="DK24" i="1"/>
  <c r="DK25" i="1"/>
  <c r="DK26" i="1"/>
  <c r="DK27" i="1"/>
  <c r="DK28" i="1"/>
  <c r="DK29" i="1"/>
  <c r="DK30" i="1"/>
  <c r="DK31" i="1"/>
  <c r="DK32" i="1"/>
  <c r="DK33" i="1"/>
  <c r="DI3" i="1"/>
  <c r="DI4" i="1"/>
  <c r="DI5" i="1"/>
  <c r="DI6" i="1"/>
  <c r="DI7" i="1"/>
  <c r="DI8" i="1"/>
  <c r="DI9" i="1"/>
  <c r="DI10" i="1"/>
  <c r="DI11" i="1"/>
  <c r="DI12" i="1"/>
  <c r="DI13" i="1"/>
  <c r="DI14" i="1"/>
  <c r="DI15" i="1"/>
  <c r="DI16" i="1"/>
  <c r="DI17" i="1"/>
  <c r="DI18" i="1"/>
  <c r="DI19" i="1"/>
  <c r="DI20" i="1"/>
  <c r="DI21" i="1"/>
  <c r="DI22" i="1"/>
  <c r="DI23" i="1"/>
  <c r="DI24" i="1"/>
  <c r="DI25" i="1"/>
  <c r="DI26" i="1"/>
  <c r="DI27" i="1"/>
  <c r="DI28" i="1"/>
  <c r="DI29" i="1"/>
  <c r="DI30" i="1"/>
  <c r="DI31" i="1"/>
  <c r="DI32" i="1"/>
  <c r="DI33" i="1"/>
  <c r="DG3" i="1"/>
  <c r="DG4" i="1"/>
  <c r="DG5" i="1"/>
  <c r="DG6" i="1"/>
  <c r="DG7" i="1"/>
  <c r="DG8" i="1"/>
  <c r="DG9" i="1"/>
  <c r="DG10" i="1"/>
  <c r="DG11" i="1"/>
  <c r="DG12" i="1"/>
  <c r="DG13" i="1"/>
  <c r="DG14" i="1"/>
  <c r="DG15" i="1"/>
  <c r="DG16" i="1"/>
  <c r="DG17" i="1"/>
  <c r="DG18" i="1"/>
  <c r="DG19" i="1"/>
  <c r="DG20" i="1"/>
  <c r="DG21" i="1"/>
  <c r="DG22" i="1"/>
  <c r="DG23" i="1"/>
  <c r="DG24" i="1"/>
  <c r="DG25" i="1"/>
  <c r="DG26" i="1"/>
  <c r="DG27" i="1"/>
  <c r="DG28" i="1"/>
  <c r="DG29" i="1"/>
  <c r="DG30" i="1"/>
  <c r="DG31" i="1"/>
  <c r="DG32" i="1"/>
  <c r="DG33" i="1"/>
  <c r="DE3" i="1"/>
  <c r="DE4" i="1"/>
  <c r="DE5" i="1"/>
  <c r="DM5" i="1" s="1"/>
  <c r="DE6" i="1"/>
  <c r="DE7" i="1"/>
  <c r="DE8" i="1"/>
  <c r="DE9" i="1"/>
  <c r="DE10" i="1"/>
  <c r="DE11" i="1"/>
  <c r="DE12" i="1"/>
  <c r="DE13" i="1"/>
  <c r="DM13" i="1" s="1"/>
  <c r="DE14" i="1"/>
  <c r="DE15" i="1"/>
  <c r="DE16" i="1"/>
  <c r="DE17" i="1"/>
  <c r="DE18" i="1"/>
  <c r="DE19" i="1"/>
  <c r="DE20" i="1"/>
  <c r="DE21" i="1"/>
  <c r="DE22" i="1"/>
  <c r="DE23" i="1"/>
  <c r="DE24" i="1"/>
  <c r="DE25" i="1"/>
  <c r="DE26" i="1"/>
  <c r="DE27" i="1"/>
  <c r="DE28" i="1"/>
  <c r="DE29" i="1"/>
  <c r="DM29" i="1" s="1"/>
  <c r="DE30" i="1"/>
  <c r="DE31" i="1"/>
  <c r="DE32" i="1"/>
  <c r="DE33" i="1"/>
  <c r="DC3" i="1"/>
  <c r="DC4" i="1"/>
  <c r="DC5" i="1"/>
  <c r="DC6" i="1"/>
  <c r="DC7" i="1"/>
  <c r="DC8" i="1"/>
  <c r="DC9" i="1"/>
  <c r="DC10" i="1"/>
  <c r="DC11" i="1"/>
  <c r="DC12" i="1"/>
  <c r="DC13" i="1"/>
  <c r="DC14" i="1"/>
  <c r="DC15" i="1"/>
  <c r="DC16" i="1"/>
  <c r="DC17" i="1"/>
  <c r="DC18" i="1"/>
  <c r="DC19" i="1"/>
  <c r="DC20" i="1"/>
  <c r="DC21" i="1"/>
  <c r="DC22" i="1"/>
  <c r="DC23" i="1"/>
  <c r="DC24" i="1"/>
  <c r="DC25" i="1"/>
  <c r="DC26" i="1"/>
  <c r="DC27" i="1"/>
  <c r="DC28" i="1"/>
  <c r="DC29" i="1"/>
  <c r="DC30" i="1"/>
  <c r="DC31" i="1"/>
  <c r="DC32" i="1"/>
  <c r="DC33" i="1"/>
  <c r="DK2" i="1"/>
  <c r="DI2" i="1"/>
  <c r="DG2" i="1"/>
  <c r="DE2" i="1"/>
  <c r="DC2" i="1"/>
  <c r="DM23" i="1" l="1"/>
  <c r="DM15" i="1"/>
  <c r="DM31" i="1"/>
  <c r="DM7" i="1"/>
  <c r="DO30" i="1"/>
  <c r="DO6" i="1"/>
  <c r="DO22" i="1"/>
  <c r="DO14" i="1"/>
  <c r="DO7" i="1"/>
  <c r="DO21" i="1"/>
  <c r="DO13" i="1"/>
  <c r="DO5" i="1"/>
  <c r="DM28" i="1"/>
  <c r="DM20" i="1"/>
  <c r="DM12" i="1"/>
  <c r="DM4" i="1"/>
  <c r="DM21" i="1"/>
  <c r="DO23" i="1"/>
  <c r="DM14" i="1"/>
  <c r="DM6" i="1"/>
  <c r="DO28" i="1"/>
  <c r="DO12" i="1"/>
  <c r="DM27" i="1"/>
  <c r="DM19" i="1"/>
  <c r="DM11" i="1"/>
  <c r="DM3" i="1"/>
  <c r="DO15" i="1"/>
  <c r="DM30" i="1"/>
  <c r="DO29" i="1"/>
  <c r="DO20" i="1"/>
  <c r="DO4" i="1"/>
  <c r="DO26" i="1"/>
  <c r="DO33" i="1"/>
  <c r="DO31" i="1"/>
  <c r="DO2" i="1"/>
  <c r="DO27" i="1"/>
  <c r="DO19" i="1"/>
  <c r="DO11" i="1"/>
  <c r="DO3" i="1"/>
  <c r="DM26" i="1"/>
  <c r="DM18" i="1"/>
  <c r="DM10" i="1"/>
  <c r="DO10" i="1"/>
  <c r="DM25" i="1"/>
  <c r="DM17" i="1"/>
  <c r="DM9" i="1"/>
  <c r="DO18" i="1"/>
  <c r="DO25" i="1"/>
  <c r="DO17" i="1"/>
  <c r="DO9" i="1"/>
  <c r="DM32" i="1"/>
  <c r="DM24" i="1"/>
  <c r="DM16" i="1"/>
  <c r="DM8" i="1"/>
  <c r="DO32" i="1"/>
  <c r="DO24" i="1"/>
  <c r="DO16" i="1"/>
  <c r="DO8" i="1"/>
  <c r="DM2" i="1"/>
  <c r="DM33" i="1"/>
  <c r="BT3" i="1"/>
  <c r="BT4" i="1"/>
  <c r="BT5" i="1"/>
  <c r="BT6" i="1"/>
  <c r="BT7" i="1"/>
  <c r="BT8" i="1"/>
  <c r="BT9" i="1"/>
  <c r="BT10" i="1"/>
  <c r="BT11" i="1"/>
  <c r="BT12" i="1"/>
  <c r="BT13" i="1"/>
  <c r="BT14" i="1"/>
  <c r="BT15" i="1"/>
  <c r="BT16" i="1"/>
  <c r="BT17" i="1"/>
  <c r="BT18" i="1"/>
  <c r="BT19" i="1"/>
  <c r="BT20" i="1"/>
  <c r="BT21" i="1"/>
  <c r="BT22" i="1"/>
  <c r="BT23" i="1"/>
  <c r="BT24" i="1"/>
  <c r="BT25" i="1"/>
  <c r="BT26" i="1"/>
  <c r="BT27" i="1"/>
  <c r="BT28" i="1"/>
  <c r="BT29" i="1"/>
  <c r="BT30" i="1"/>
  <c r="BT31" i="1"/>
  <c r="BT32" i="1"/>
  <c r="BT33" i="1"/>
  <c r="BT2" i="1"/>
  <c r="U33" i="3"/>
  <c r="Q33" i="3"/>
  <c r="AV4" i="1"/>
  <c r="AV9" i="1"/>
  <c r="BK4" i="1"/>
  <c r="BK9" i="1"/>
  <c r="BJ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L40" i="3"/>
  <c r="L39" i="3"/>
  <c r="L38" i="3" l="1"/>
  <c r="L37" i="3"/>
  <c r="L36" i="3"/>
  <c r="L35" i="3"/>
  <c r="L34" i="3"/>
  <c r="CO3" i="1"/>
  <c r="CO4" i="1"/>
  <c r="CO5" i="1"/>
  <c r="CO6" i="1"/>
  <c r="CO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M3" i="1"/>
  <c r="CM4" i="1"/>
  <c r="CM5" i="1"/>
  <c r="CM6" i="1"/>
  <c r="CM7" i="1"/>
  <c r="CM8" i="1"/>
  <c r="CM9" i="1"/>
  <c r="CM10" i="1"/>
  <c r="CM11" i="1"/>
  <c r="CM12" i="1"/>
  <c r="CM13" i="1"/>
  <c r="CM14" i="1"/>
  <c r="CM15" i="1"/>
  <c r="CM16" i="1"/>
  <c r="CM17" i="1"/>
  <c r="CM18" i="1"/>
  <c r="CM19" i="1"/>
  <c r="CM20" i="1"/>
  <c r="CM21" i="1"/>
  <c r="CM22" i="1"/>
  <c r="CM23" i="1"/>
  <c r="CM24" i="1"/>
  <c r="CM25" i="1"/>
  <c r="CM26" i="1"/>
  <c r="CM27" i="1"/>
  <c r="CM28" i="1"/>
  <c r="CM29" i="1"/>
  <c r="CM30" i="1"/>
  <c r="CM31" i="1"/>
  <c r="CM32" i="1"/>
  <c r="CM33" i="1"/>
  <c r="CO2" i="1"/>
  <c r="CM2" i="1"/>
  <c r="CK3" i="1"/>
  <c r="CK4" i="1"/>
  <c r="CK5" i="1"/>
  <c r="CK6" i="1"/>
  <c r="CK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2" i="1"/>
  <c r="CI3" i="1"/>
  <c r="CI4" i="1"/>
  <c r="CI5" i="1"/>
  <c r="CW5" i="1" s="1"/>
  <c r="CI6" i="1"/>
  <c r="CW6" i="1" s="1"/>
  <c r="CI7" i="1"/>
  <c r="CW7" i="1" s="1"/>
  <c r="CI8" i="1"/>
  <c r="CW8" i="1" s="1"/>
  <c r="CI9" i="1"/>
  <c r="CW9" i="1" s="1"/>
  <c r="CI10" i="1"/>
  <c r="CW10" i="1" s="1"/>
  <c r="CI11" i="1"/>
  <c r="CW11" i="1" s="1"/>
  <c r="CI12" i="1"/>
  <c r="CW12" i="1" s="1"/>
  <c r="CI13" i="1"/>
  <c r="CW13" i="1" s="1"/>
  <c r="CI14" i="1"/>
  <c r="CW14" i="1" s="1"/>
  <c r="CI15" i="1"/>
  <c r="CW15" i="1" s="1"/>
  <c r="CI16" i="1"/>
  <c r="CW16" i="1" s="1"/>
  <c r="CI17" i="1"/>
  <c r="CW17" i="1" s="1"/>
  <c r="CI18" i="1"/>
  <c r="CW18" i="1" s="1"/>
  <c r="CI19" i="1"/>
  <c r="CW19" i="1" s="1"/>
  <c r="CI20" i="1"/>
  <c r="CW20" i="1" s="1"/>
  <c r="CI21" i="1"/>
  <c r="CW21" i="1" s="1"/>
  <c r="CI22" i="1"/>
  <c r="CW22" i="1" s="1"/>
  <c r="CI23" i="1"/>
  <c r="CW23" i="1" s="1"/>
  <c r="CI24" i="1"/>
  <c r="CW24" i="1" s="1"/>
  <c r="CI25" i="1"/>
  <c r="CW25" i="1" s="1"/>
  <c r="CI26" i="1"/>
  <c r="CW26" i="1" s="1"/>
  <c r="CI27" i="1"/>
  <c r="CI28" i="1"/>
  <c r="CW28" i="1" s="1"/>
  <c r="CI29" i="1"/>
  <c r="CW29" i="1" s="1"/>
  <c r="CI30" i="1"/>
  <c r="CW30" i="1" s="1"/>
  <c r="CI31" i="1"/>
  <c r="CW31" i="1" s="1"/>
  <c r="CI32" i="1"/>
  <c r="CW32" i="1" s="1"/>
  <c r="CI33" i="1"/>
  <c r="CW33" i="1" s="1"/>
  <c r="CI2" i="1"/>
  <c r="CW2" i="1" s="1"/>
  <c r="CG3" i="1"/>
  <c r="CG4" i="1"/>
  <c r="CG5" i="1"/>
  <c r="CS5" i="1" s="1"/>
  <c r="CG6" i="1"/>
  <c r="CS6" i="1" s="1"/>
  <c r="CG7" i="1"/>
  <c r="CS7" i="1" s="1"/>
  <c r="CG8" i="1"/>
  <c r="CS8" i="1" s="1"/>
  <c r="CG9" i="1"/>
  <c r="CS9" i="1" s="1"/>
  <c r="CG10" i="1"/>
  <c r="CS10" i="1" s="1"/>
  <c r="CG11" i="1"/>
  <c r="CS11" i="1" s="1"/>
  <c r="CG12" i="1"/>
  <c r="CG13" i="1"/>
  <c r="CS13" i="1" s="1"/>
  <c r="CG14" i="1"/>
  <c r="CS14" i="1" s="1"/>
  <c r="CG15" i="1"/>
  <c r="CS15" i="1" s="1"/>
  <c r="CG16" i="1"/>
  <c r="CS16" i="1" s="1"/>
  <c r="CG17" i="1"/>
  <c r="CS17" i="1" s="1"/>
  <c r="CG18" i="1"/>
  <c r="CG19" i="1"/>
  <c r="CS19" i="1" s="1"/>
  <c r="CG20" i="1"/>
  <c r="CS20" i="1" s="1"/>
  <c r="CG21" i="1"/>
  <c r="CG22" i="1"/>
  <c r="CS22" i="1" s="1"/>
  <c r="CG23" i="1"/>
  <c r="CS23" i="1" s="1"/>
  <c r="CG24" i="1"/>
  <c r="CS24" i="1" s="1"/>
  <c r="CG25" i="1"/>
  <c r="CS25" i="1" s="1"/>
  <c r="CG26" i="1"/>
  <c r="CS26" i="1" s="1"/>
  <c r="CG27" i="1"/>
  <c r="CS27" i="1" s="1"/>
  <c r="CG28" i="1"/>
  <c r="CG29" i="1"/>
  <c r="CG30" i="1"/>
  <c r="CS30" i="1" s="1"/>
  <c r="CG31" i="1"/>
  <c r="CS31" i="1" s="1"/>
  <c r="CG32" i="1"/>
  <c r="CS32" i="1" s="1"/>
  <c r="CG33" i="1"/>
  <c r="CS33" i="1" s="1"/>
  <c r="CE3" i="1"/>
  <c r="CE4" i="1"/>
  <c r="CE5" i="1"/>
  <c r="CE6" i="1"/>
  <c r="CE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G2" i="1"/>
  <c r="CE2" i="1"/>
  <c r="AU3" i="11"/>
  <c r="AU2" i="11"/>
  <c r="AU1" i="11"/>
  <c r="H31" i="3"/>
  <c r="BJ3" i="2"/>
  <c r="BJ4" i="2"/>
  <c r="BJ5" i="2"/>
  <c r="BJ6" i="2"/>
  <c r="BJ7" i="2"/>
  <c r="BJ8" i="2"/>
  <c r="BJ9" i="2"/>
  <c r="BJ10" i="2"/>
  <c r="BJ11" i="2"/>
  <c r="BJ12" i="2"/>
  <c r="BJ13" i="2"/>
  <c r="BJ14" i="2"/>
  <c r="BJ15" i="2"/>
  <c r="BJ16" i="2"/>
  <c r="BJ17" i="2"/>
  <c r="BJ18" i="2"/>
  <c r="BJ19" i="2"/>
  <c r="BJ20" i="2"/>
  <c r="BJ21" i="2"/>
  <c r="BJ22" i="2"/>
  <c r="BJ23" i="2"/>
  <c r="BJ24" i="2"/>
  <c r="BJ25" i="2"/>
  <c r="BJ26" i="2"/>
  <c r="BJ27" i="2"/>
  <c r="BJ28" i="2"/>
  <c r="BJ29" i="2"/>
  <c r="BJ30" i="2"/>
  <c r="BJ31" i="2"/>
  <c r="BJ32" i="2"/>
  <c r="BJ33" i="2"/>
  <c r="BJ2" i="2"/>
  <c r="BI3" i="2"/>
  <c r="BI4" i="2"/>
  <c r="BI5" i="2"/>
  <c r="BI6" i="2"/>
  <c r="BI7" i="2"/>
  <c r="BI8" i="2"/>
  <c r="BI9" i="2"/>
  <c r="BI10" i="2"/>
  <c r="BI11" i="2"/>
  <c r="BI12" i="2"/>
  <c r="BI13" i="2"/>
  <c r="BI14" i="2"/>
  <c r="BI15" i="2"/>
  <c r="BI16" i="2"/>
  <c r="BI17" i="2"/>
  <c r="BI18" i="2"/>
  <c r="BI19" i="2"/>
  <c r="BI20" i="2"/>
  <c r="BI21" i="2"/>
  <c r="BI22" i="2"/>
  <c r="BI23" i="2"/>
  <c r="BI24" i="2"/>
  <c r="BI25" i="2"/>
  <c r="BI26" i="2"/>
  <c r="BI27" i="2"/>
  <c r="BI28" i="2"/>
  <c r="BI29" i="2"/>
  <c r="BI30" i="2"/>
  <c r="BI31" i="2"/>
  <c r="BI32" i="2"/>
  <c r="BI33" i="2"/>
  <c r="BI2" i="2"/>
  <c r="BS2" i="1"/>
  <c r="BH3" i="2"/>
  <c r="BH4" i="2"/>
  <c r="BH5" i="2"/>
  <c r="BH6" i="2"/>
  <c r="BH7" i="2"/>
  <c r="BH8" i="2"/>
  <c r="BH9" i="2"/>
  <c r="BH10" i="2"/>
  <c r="BH11" i="2"/>
  <c r="BH12" i="2"/>
  <c r="BH13" i="2"/>
  <c r="BH14" i="2"/>
  <c r="BH15" i="2"/>
  <c r="BH16" i="2"/>
  <c r="BH17" i="2"/>
  <c r="BH18" i="2"/>
  <c r="BH19" i="2"/>
  <c r="BH20" i="2"/>
  <c r="BH21" i="2"/>
  <c r="BH22" i="2"/>
  <c r="BH23" i="2"/>
  <c r="BH24" i="2"/>
  <c r="BH25" i="2"/>
  <c r="BH26" i="2"/>
  <c r="BH27" i="2"/>
  <c r="BH28" i="2"/>
  <c r="BH29" i="2"/>
  <c r="BH30" i="2"/>
  <c r="BH31" i="2"/>
  <c r="BH32" i="2"/>
  <c r="BH33" i="2"/>
  <c r="BH2" i="2"/>
  <c r="BR2" i="1"/>
  <c r="BE3" i="2"/>
  <c r="BE4" i="2"/>
  <c r="BE5" i="2"/>
  <c r="BE6" i="2"/>
  <c r="BE7" i="2"/>
  <c r="BE8" i="2"/>
  <c r="BE9" i="2"/>
  <c r="BE10" i="2"/>
  <c r="BE11" i="2"/>
  <c r="BE12" i="2"/>
  <c r="BE13" i="2"/>
  <c r="BE14" i="2"/>
  <c r="BE15" i="2"/>
  <c r="BE16" i="2"/>
  <c r="BE17" i="2"/>
  <c r="BE18" i="2"/>
  <c r="BE19" i="2"/>
  <c r="BE20" i="2"/>
  <c r="BE21" i="2"/>
  <c r="BE22" i="2"/>
  <c r="BE23" i="2"/>
  <c r="BE24" i="2"/>
  <c r="BE25" i="2"/>
  <c r="BE26" i="2"/>
  <c r="BE27" i="2"/>
  <c r="BE28" i="2"/>
  <c r="BE29" i="2"/>
  <c r="BE30" i="2"/>
  <c r="BE31" i="2"/>
  <c r="BE32" i="2"/>
  <c r="BE33" i="2"/>
  <c r="BE2" i="2"/>
  <c r="BD3" i="2"/>
  <c r="BD4" i="2"/>
  <c r="BD5" i="2"/>
  <c r="BD6" i="2"/>
  <c r="BD7" i="2"/>
  <c r="BD8" i="2"/>
  <c r="BD9" i="2"/>
  <c r="BD10" i="2"/>
  <c r="BD11" i="2"/>
  <c r="BD12" i="2"/>
  <c r="BD13" i="2"/>
  <c r="BD14" i="2"/>
  <c r="BD15" i="2"/>
  <c r="BD16" i="2"/>
  <c r="BD17" i="2"/>
  <c r="BD18" i="2"/>
  <c r="BD19" i="2"/>
  <c r="BD20" i="2"/>
  <c r="BD21" i="2"/>
  <c r="BD22" i="2"/>
  <c r="BD23" i="2"/>
  <c r="BD24" i="2"/>
  <c r="BD25" i="2"/>
  <c r="BD26" i="2"/>
  <c r="BD27" i="2"/>
  <c r="BD28" i="2"/>
  <c r="BD29" i="2"/>
  <c r="BD30" i="2"/>
  <c r="BD31" i="2"/>
  <c r="BD32" i="2"/>
  <c r="BD33" i="2"/>
  <c r="BD2" i="2"/>
  <c r="BC3" i="2"/>
  <c r="BC4" i="2"/>
  <c r="BC5" i="2"/>
  <c r="BC6" i="2"/>
  <c r="BC7" i="2"/>
  <c r="BC8" i="2"/>
  <c r="BC9" i="2"/>
  <c r="BC10" i="2"/>
  <c r="BC11" i="2"/>
  <c r="BC12" i="2"/>
  <c r="BC13" i="2"/>
  <c r="BC14" i="2"/>
  <c r="BC15" i="2"/>
  <c r="BC16" i="2"/>
  <c r="BC17" i="2"/>
  <c r="BC18" i="2"/>
  <c r="BC19" i="2"/>
  <c r="BC20" i="2"/>
  <c r="BC21" i="2"/>
  <c r="BC22" i="2"/>
  <c r="BC23" i="2"/>
  <c r="BC24" i="2"/>
  <c r="BC25" i="2"/>
  <c r="BC26" i="2"/>
  <c r="BC27" i="2"/>
  <c r="BC28" i="2"/>
  <c r="BC29" i="2"/>
  <c r="BC30" i="2"/>
  <c r="BC31" i="2"/>
  <c r="BC32" i="2"/>
  <c r="BC33" i="2"/>
  <c r="BC2" i="2"/>
  <c r="BB3" i="2"/>
  <c r="BB4" i="2"/>
  <c r="BB5" i="2"/>
  <c r="BB6" i="2"/>
  <c r="BB7" i="2"/>
  <c r="BB8" i="2"/>
  <c r="BB9" i="2"/>
  <c r="BB10" i="2"/>
  <c r="BB11" i="2"/>
  <c r="BB12" i="2"/>
  <c r="BB13" i="2"/>
  <c r="BB14" i="2"/>
  <c r="BB15" i="2"/>
  <c r="BB16" i="2"/>
  <c r="BB17" i="2"/>
  <c r="BB18" i="2"/>
  <c r="BB19" i="2"/>
  <c r="BB20" i="2"/>
  <c r="BB21" i="2"/>
  <c r="BB22" i="2"/>
  <c r="BB23" i="2"/>
  <c r="BB24" i="2"/>
  <c r="BB25" i="2"/>
  <c r="BB26" i="2"/>
  <c r="BB27" i="2"/>
  <c r="BB28" i="2"/>
  <c r="BB29" i="2"/>
  <c r="BB30" i="2"/>
  <c r="BB31" i="2"/>
  <c r="BB32" i="2"/>
  <c r="BB33" i="2"/>
  <c r="BB2" i="2"/>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2" i="1"/>
  <c r="AX3" i="1"/>
  <c r="DB3" i="1" s="1"/>
  <c r="AX4" i="1"/>
  <c r="DB4" i="1" s="1"/>
  <c r="AX5" i="1"/>
  <c r="DB5" i="1" s="1"/>
  <c r="AX6" i="1"/>
  <c r="DB6" i="1" s="1"/>
  <c r="AX7" i="1"/>
  <c r="DB7" i="1" s="1"/>
  <c r="AX8" i="1"/>
  <c r="DB8" i="1" s="1"/>
  <c r="AX9" i="1"/>
  <c r="DB9" i="1" s="1"/>
  <c r="AX10" i="1"/>
  <c r="DB10" i="1" s="1"/>
  <c r="AX11" i="1"/>
  <c r="DB11" i="1" s="1"/>
  <c r="AX12" i="1"/>
  <c r="AX13" i="1"/>
  <c r="DB13" i="1" s="1"/>
  <c r="AX14" i="1"/>
  <c r="DB14" i="1" s="1"/>
  <c r="AX15" i="1"/>
  <c r="DB15" i="1" s="1"/>
  <c r="AX16" i="1"/>
  <c r="DB16" i="1" s="1"/>
  <c r="AX17" i="1"/>
  <c r="DB17" i="1" s="1"/>
  <c r="AX18" i="1"/>
  <c r="DB18" i="1" s="1"/>
  <c r="AX19" i="1"/>
  <c r="DB19" i="1" s="1"/>
  <c r="AX20" i="1"/>
  <c r="DB20" i="1" s="1"/>
  <c r="AX21" i="1"/>
  <c r="DB21" i="1" s="1"/>
  <c r="AX22" i="1"/>
  <c r="DB22" i="1" s="1"/>
  <c r="AX23" i="1"/>
  <c r="DB23" i="1" s="1"/>
  <c r="AX24" i="1"/>
  <c r="DB24" i="1" s="1"/>
  <c r="AX25" i="1"/>
  <c r="DB25" i="1" s="1"/>
  <c r="AX26" i="1"/>
  <c r="DB26" i="1" s="1"/>
  <c r="AX27" i="1"/>
  <c r="DB27" i="1" s="1"/>
  <c r="AX28" i="1"/>
  <c r="DB28" i="1" s="1"/>
  <c r="AX29" i="1"/>
  <c r="DB29" i="1" s="1"/>
  <c r="AX30" i="1"/>
  <c r="DB30" i="1" s="1"/>
  <c r="AX31" i="1"/>
  <c r="DB31" i="1" s="1"/>
  <c r="AX32" i="1"/>
  <c r="DB32" i="1" s="1"/>
  <c r="AX33" i="1"/>
  <c r="DB33" i="1" s="1"/>
  <c r="AX2" i="1"/>
  <c r="DB2" i="1" s="1"/>
  <c r="BZ3" i="1"/>
  <c r="BZ4" i="1"/>
  <c r="BZ5" i="1"/>
  <c r="BZ6" i="1"/>
  <c r="BZ7"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2" i="1"/>
  <c r="BX3" i="1"/>
  <c r="BX4" i="1"/>
  <c r="BX5" i="1"/>
  <c r="BX6" i="1"/>
  <c r="BX7" i="1"/>
  <c r="BX8" i="1"/>
  <c r="BX9" i="1"/>
  <c r="BX10" i="1"/>
  <c r="BX11" i="1"/>
  <c r="BX12" i="1"/>
  <c r="BX13" i="1"/>
  <c r="BX14" i="1"/>
  <c r="BX15" i="1"/>
  <c r="BX16" i="1"/>
  <c r="BX17" i="1"/>
  <c r="BX18" i="1"/>
  <c r="BX19" i="1"/>
  <c r="BX20" i="1"/>
  <c r="BX21" i="1"/>
  <c r="BX22" i="1"/>
  <c r="BX23" i="1"/>
  <c r="BX24" i="1"/>
  <c r="BX25" i="1"/>
  <c r="BX26" i="1"/>
  <c r="BX27" i="1"/>
  <c r="BX28" i="1"/>
  <c r="BX29" i="1"/>
  <c r="BX30" i="1"/>
  <c r="BX31" i="1"/>
  <c r="BX32" i="1"/>
  <c r="BX33" i="1"/>
  <c r="BX2" i="1"/>
  <c r="BS3" i="1"/>
  <c r="BS4" i="1"/>
  <c r="BS5" i="1"/>
  <c r="BS6" i="1"/>
  <c r="BS8" i="1"/>
  <c r="BS7" i="1"/>
  <c r="BS9" i="1"/>
  <c r="BS10" i="1"/>
  <c r="BS16" i="1"/>
  <c r="BS18" i="1"/>
  <c r="BS11" i="1"/>
  <c r="BS20" i="1"/>
  <c r="BS13" i="1"/>
  <c r="BS14" i="1"/>
  <c r="BS15" i="1"/>
  <c r="BS23" i="1"/>
  <c r="BS19" i="1"/>
  <c r="BS12" i="1"/>
  <c r="BS17" i="1"/>
  <c r="BS22" i="1"/>
  <c r="BS21" i="1"/>
  <c r="BS24" i="1"/>
  <c r="BS25" i="1"/>
  <c r="BS26" i="1"/>
  <c r="BS27" i="1"/>
  <c r="BS28" i="1"/>
  <c r="BS29" i="1"/>
  <c r="BS30" i="1"/>
  <c r="BS31" i="1"/>
  <c r="BS32" i="1"/>
  <c r="BS33" i="1"/>
  <c r="BR3" i="1"/>
  <c r="BR4" i="1"/>
  <c r="BR5" i="1"/>
  <c r="BR6" i="1"/>
  <c r="BR8" i="1"/>
  <c r="BR7" i="1"/>
  <c r="BR9" i="1"/>
  <c r="BR10" i="1"/>
  <c r="BR16" i="1"/>
  <c r="BR18" i="1"/>
  <c r="BR11" i="1"/>
  <c r="BR20" i="1"/>
  <c r="BR13" i="1"/>
  <c r="BR14" i="1"/>
  <c r="BR15" i="1"/>
  <c r="BR23" i="1"/>
  <c r="BR19" i="1"/>
  <c r="BR12" i="1"/>
  <c r="BR17" i="1"/>
  <c r="BR22" i="1"/>
  <c r="BR21" i="1"/>
  <c r="BR24" i="1"/>
  <c r="BR25" i="1"/>
  <c r="BR26" i="1"/>
  <c r="BR27" i="1"/>
  <c r="BR28" i="1"/>
  <c r="BR29" i="1"/>
  <c r="BR30" i="1"/>
  <c r="BR31" i="1"/>
  <c r="BR32" i="1"/>
  <c r="BR33" i="1"/>
  <c r="BI3" i="1"/>
  <c r="BI4" i="1"/>
  <c r="BI5" i="1"/>
  <c r="BI6" i="1"/>
  <c r="BI8" i="1"/>
  <c r="BI7" i="1"/>
  <c r="BI9" i="1"/>
  <c r="BI10" i="1"/>
  <c r="BI16" i="1"/>
  <c r="BI18" i="1"/>
  <c r="BI11" i="1"/>
  <c r="BI20" i="1"/>
  <c r="BI13" i="1"/>
  <c r="BI14" i="1"/>
  <c r="BI15" i="1"/>
  <c r="BI23" i="1"/>
  <c r="BI19" i="1"/>
  <c r="BI12" i="1"/>
  <c r="BI17" i="1"/>
  <c r="BI22" i="1"/>
  <c r="BI21" i="1"/>
  <c r="BI24" i="1"/>
  <c r="BI25" i="1"/>
  <c r="BI26" i="1"/>
  <c r="BI27" i="1"/>
  <c r="BI28" i="1"/>
  <c r="BI29" i="1"/>
  <c r="BI30" i="1"/>
  <c r="BI31" i="1"/>
  <c r="BI32" i="1"/>
  <c r="BI33" i="1"/>
  <c r="BI2" i="1"/>
  <c r="BH3" i="1"/>
  <c r="CP3" i="1" s="1"/>
  <c r="BH4" i="1"/>
  <c r="CP4" i="1" s="1"/>
  <c r="BH5" i="1"/>
  <c r="CP5" i="1" s="1"/>
  <c r="BH6" i="1"/>
  <c r="CP6" i="1" s="1"/>
  <c r="BH8" i="1"/>
  <c r="CP8" i="1" s="1"/>
  <c r="BH7" i="1"/>
  <c r="BH9" i="1"/>
  <c r="BH10" i="1"/>
  <c r="BH16" i="1"/>
  <c r="CP16" i="1" s="1"/>
  <c r="BH18" i="1"/>
  <c r="CP18" i="1" s="1"/>
  <c r="BH11" i="1"/>
  <c r="BH20" i="1"/>
  <c r="CP20" i="1" s="1"/>
  <c r="BH13" i="1"/>
  <c r="BH14" i="1"/>
  <c r="CP14" i="1" s="1"/>
  <c r="BH15" i="1"/>
  <c r="CP15" i="1" s="1"/>
  <c r="BH23" i="1"/>
  <c r="CP23" i="1" s="1"/>
  <c r="BH19" i="1"/>
  <c r="BH12" i="1"/>
  <c r="CP12" i="1" s="1"/>
  <c r="BH17" i="1"/>
  <c r="CP17" i="1" s="1"/>
  <c r="BH22" i="1"/>
  <c r="CP22" i="1" s="1"/>
  <c r="BH21" i="1"/>
  <c r="BH24" i="1"/>
  <c r="CP24" i="1" s="1"/>
  <c r="BH25" i="1"/>
  <c r="CP25" i="1" s="1"/>
  <c r="BH26" i="1"/>
  <c r="CP26" i="1" s="1"/>
  <c r="BH27" i="1"/>
  <c r="CP27" i="1" s="1"/>
  <c r="BH28" i="1"/>
  <c r="CP28" i="1" s="1"/>
  <c r="BH29" i="1"/>
  <c r="CP29" i="1" s="1"/>
  <c r="BH30" i="1"/>
  <c r="BH31" i="1"/>
  <c r="BH32" i="1"/>
  <c r="BH33" i="1"/>
  <c r="CP33" i="1" s="1"/>
  <c r="BH2" i="1"/>
  <c r="BG3" i="1"/>
  <c r="DL3" i="1" s="1"/>
  <c r="BG4" i="1"/>
  <c r="DL4" i="1" s="1"/>
  <c r="BG5" i="1"/>
  <c r="DL5" i="1" s="1"/>
  <c r="BG6" i="1"/>
  <c r="DL6" i="1" s="1"/>
  <c r="BG8" i="1"/>
  <c r="DL8" i="1" s="1"/>
  <c r="BG7" i="1"/>
  <c r="DL7" i="1" s="1"/>
  <c r="BG9" i="1"/>
  <c r="DL9" i="1" s="1"/>
  <c r="BG10" i="1"/>
  <c r="DL10" i="1" s="1"/>
  <c r="BG16" i="1"/>
  <c r="DL16" i="1" s="1"/>
  <c r="BG18" i="1"/>
  <c r="DL18" i="1" s="1"/>
  <c r="BG11" i="1"/>
  <c r="DL11" i="1" s="1"/>
  <c r="BG20" i="1"/>
  <c r="DL20" i="1" s="1"/>
  <c r="BG13" i="1"/>
  <c r="BG14" i="1"/>
  <c r="DL14" i="1" s="1"/>
  <c r="BG15" i="1"/>
  <c r="DL15" i="1" s="1"/>
  <c r="BG23" i="1"/>
  <c r="DL23" i="1" s="1"/>
  <c r="BG19" i="1"/>
  <c r="DL19" i="1" s="1"/>
  <c r="BG12" i="1"/>
  <c r="DL12" i="1" s="1"/>
  <c r="BG17" i="1"/>
  <c r="DL17" i="1" s="1"/>
  <c r="BG22" i="1"/>
  <c r="DL22" i="1" s="1"/>
  <c r="BG21" i="1"/>
  <c r="DL21" i="1" s="1"/>
  <c r="BG24" i="1"/>
  <c r="DL24" i="1" s="1"/>
  <c r="BG25" i="1"/>
  <c r="DL25" i="1" s="1"/>
  <c r="BG26" i="1"/>
  <c r="DL26" i="1" s="1"/>
  <c r="BG27" i="1"/>
  <c r="DL27" i="1" s="1"/>
  <c r="BG28" i="1"/>
  <c r="DL28" i="1" s="1"/>
  <c r="BG29" i="1"/>
  <c r="DL29" i="1" s="1"/>
  <c r="BG30" i="1"/>
  <c r="DL30" i="1" s="1"/>
  <c r="BG31" i="1"/>
  <c r="DL31" i="1" s="1"/>
  <c r="BG32" i="1"/>
  <c r="DL32" i="1" s="1"/>
  <c r="BG33" i="1"/>
  <c r="DL33" i="1" s="1"/>
  <c r="BG2" i="1"/>
  <c r="DL2" i="1" s="1"/>
  <c r="BF3" i="1"/>
  <c r="BF4" i="1"/>
  <c r="BF5" i="1"/>
  <c r="BF6" i="1"/>
  <c r="BF8" i="1"/>
  <c r="BF7" i="1"/>
  <c r="BF9" i="1"/>
  <c r="BF10" i="1"/>
  <c r="DJ10" i="1" s="1"/>
  <c r="BF16" i="1"/>
  <c r="BF18" i="1"/>
  <c r="BF11" i="1"/>
  <c r="BF20" i="1"/>
  <c r="BF13" i="1"/>
  <c r="BF14" i="1"/>
  <c r="BF15" i="1"/>
  <c r="DJ15" i="1" s="1"/>
  <c r="BF23" i="1"/>
  <c r="BF19" i="1"/>
  <c r="BF12" i="1"/>
  <c r="BF17" i="1"/>
  <c r="BF22" i="1"/>
  <c r="BF21" i="1"/>
  <c r="BF24" i="1"/>
  <c r="DJ24" i="1" s="1"/>
  <c r="BF25" i="1"/>
  <c r="BF26" i="1"/>
  <c r="BF27" i="1"/>
  <c r="BF28" i="1"/>
  <c r="BF29" i="1"/>
  <c r="BF30" i="1"/>
  <c r="DJ30" i="1" s="1"/>
  <c r="BF31" i="1"/>
  <c r="BF32" i="1"/>
  <c r="BF33" i="1"/>
  <c r="BF2" i="1"/>
  <c r="BE3" i="1"/>
  <c r="BE4" i="1"/>
  <c r="BE5" i="1"/>
  <c r="BE6" i="1"/>
  <c r="BE8" i="1"/>
  <c r="BE7" i="1"/>
  <c r="BE9" i="1"/>
  <c r="BE10" i="1"/>
  <c r="BE16" i="1"/>
  <c r="BE18" i="1"/>
  <c r="BE11" i="1"/>
  <c r="BE20" i="1"/>
  <c r="BE13" i="1"/>
  <c r="BE14" i="1"/>
  <c r="BE15" i="1"/>
  <c r="BE23" i="1"/>
  <c r="BE19" i="1"/>
  <c r="BE12" i="1"/>
  <c r="BE17" i="1"/>
  <c r="BE22" i="1"/>
  <c r="BE21" i="1"/>
  <c r="BE24" i="1"/>
  <c r="BE25" i="1"/>
  <c r="BE26" i="1"/>
  <c r="BE27" i="1"/>
  <c r="BE28" i="1"/>
  <c r="BE29" i="1"/>
  <c r="BE30" i="1"/>
  <c r="BE31" i="1"/>
  <c r="BE32" i="1"/>
  <c r="BE33" i="1"/>
  <c r="BE2" i="1"/>
  <c r="BD3" i="1"/>
  <c r="CL3" i="1" s="1"/>
  <c r="BD4" i="1"/>
  <c r="CL4" i="1" s="1"/>
  <c r="BD5" i="1"/>
  <c r="CL5" i="1" s="1"/>
  <c r="BD6" i="1"/>
  <c r="CL6" i="1" s="1"/>
  <c r="BD8" i="1"/>
  <c r="CL8" i="1" s="1"/>
  <c r="BD7" i="1"/>
  <c r="CL7" i="1" s="1"/>
  <c r="BD9" i="1"/>
  <c r="CL9" i="1" s="1"/>
  <c r="BD10" i="1"/>
  <c r="CL10" i="1" s="1"/>
  <c r="BD16" i="1"/>
  <c r="BD18" i="1"/>
  <c r="CL18" i="1" s="1"/>
  <c r="BD11" i="1"/>
  <c r="CL11" i="1" s="1"/>
  <c r="BD20" i="1"/>
  <c r="BD13" i="1"/>
  <c r="BD14" i="1"/>
  <c r="CL14" i="1" s="1"/>
  <c r="BD15" i="1"/>
  <c r="BD23" i="1"/>
  <c r="CL23" i="1" s="1"/>
  <c r="BD19" i="1"/>
  <c r="CL19" i="1" s="1"/>
  <c r="BD12" i="1"/>
  <c r="CL12" i="1" s="1"/>
  <c r="BD17" i="1"/>
  <c r="CL17" i="1" s="1"/>
  <c r="BD22" i="1"/>
  <c r="CL22" i="1" s="1"/>
  <c r="BD21" i="1"/>
  <c r="CL21" i="1" s="1"/>
  <c r="BD24" i="1"/>
  <c r="CL24" i="1" s="1"/>
  <c r="BD25" i="1"/>
  <c r="BD26" i="1"/>
  <c r="CL26" i="1" s="1"/>
  <c r="BD27" i="1"/>
  <c r="CL27" i="1" s="1"/>
  <c r="BD28" i="1"/>
  <c r="CL28" i="1" s="1"/>
  <c r="BD29" i="1"/>
  <c r="CL29" i="1" s="1"/>
  <c r="BD30" i="1"/>
  <c r="CL30" i="1" s="1"/>
  <c r="BD31" i="1"/>
  <c r="CL31" i="1" s="1"/>
  <c r="BD32" i="1"/>
  <c r="BD33" i="1"/>
  <c r="CL33" i="1" s="1"/>
  <c r="BD2" i="1"/>
  <c r="CL2" i="1" s="1"/>
  <c r="BC3" i="1"/>
  <c r="DH3" i="1" s="1"/>
  <c r="BC4" i="1"/>
  <c r="DH4" i="1" s="1"/>
  <c r="BC5" i="1"/>
  <c r="DH5" i="1" s="1"/>
  <c r="BC6" i="1"/>
  <c r="DH6" i="1" s="1"/>
  <c r="BC8" i="1"/>
  <c r="DH8" i="1" s="1"/>
  <c r="BC7" i="1"/>
  <c r="DH7" i="1" s="1"/>
  <c r="BC9" i="1"/>
  <c r="DH9" i="1" s="1"/>
  <c r="BC10" i="1"/>
  <c r="DH10" i="1" s="1"/>
  <c r="BC16" i="1"/>
  <c r="DH16" i="1" s="1"/>
  <c r="BC18" i="1"/>
  <c r="DH18" i="1" s="1"/>
  <c r="BC11" i="1"/>
  <c r="DH11" i="1" s="1"/>
  <c r="BC20" i="1"/>
  <c r="DH20" i="1" s="1"/>
  <c r="BC13" i="1"/>
  <c r="DH13" i="1" s="1"/>
  <c r="BC14" i="1"/>
  <c r="DH14" i="1" s="1"/>
  <c r="BC15" i="1"/>
  <c r="DH15" i="1" s="1"/>
  <c r="BC23" i="1"/>
  <c r="DH23" i="1" s="1"/>
  <c r="BC19" i="1"/>
  <c r="DH19" i="1" s="1"/>
  <c r="BC12" i="1"/>
  <c r="DH12" i="1" s="1"/>
  <c r="BC17" i="1"/>
  <c r="DH17" i="1" s="1"/>
  <c r="BC22" i="1"/>
  <c r="DH22" i="1" s="1"/>
  <c r="BC21" i="1"/>
  <c r="DH21" i="1" s="1"/>
  <c r="BC24" i="1"/>
  <c r="DH24" i="1" s="1"/>
  <c r="BC25" i="1"/>
  <c r="DH25" i="1" s="1"/>
  <c r="BC26" i="1"/>
  <c r="DH26" i="1" s="1"/>
  <c r="BC27" i="1"/>
  <c r="DH27" i="1" s="1"/>
  <c r="BC28" i="1"/>
  <c r="DH28" i="1" s="1"/>
  <c r="BC29" i="1"/>
  <c r="DH29" i="1" s="1"/>
  <c r="BC30" i="1"/>
  <c r="DH30" i="1" s="1"/>
  <c r="BC31" i="1"/>
  <c r="DH31" i="1" s="1"/>
  <c r="BC32" i="1"/>
  <c r="DH32" i="1" s="1"/>
  <c r="BC33" i="1"/>
  <c r="DH33" i="1" s="1"/>
  <c r="BC2" i="1"/>
  <c r="DH2" i="1" s="1"/>
  <c r="BB3" i="1"/>
  <c r="BB4" i="1"/>
  <c r="BB5" i="1"/>
  <c r="DF5" i="1" s="1"/>
  <c r="BB6" i="1"/>
  <c r="BB8" i="1"/>
  <c r="BB7" i="1"/>
  <c r="BB9" i="1"/>
  <c r="BB10" i="1"/>
  <c r="BB16" i="1"/>
  <c r="BB18" i="1"/>
  <c r="BB11" i="1"/>
  <c r="BB20" i="1"/>
  <c r="DF20" i="1" s="1"/>
  <c r="BB13" i="1"/>
  <c r="BB14" i="1"/>
  <c r="BB15" i="1"/>
  <c r="DF15" i="1" s="1"/>
  <c r="BB23" i="1"/>
  <c r="DF23" i="1" s="1"/>
  <c r="BB19" i="1"/>
  <c r="BB12" i="1"/>
  <c r="DF12" i="1" s="1"/>
  <c r="BB17" i="1"/>
  <c r="BB22" i="1"/>
  <c r="BB21" i="1"/>
  <c r="BB24" i="1"/>
  <c r="BB25" i="1"/>
  <c r="BB26" i="1"/>
  <c r="BB27" i="1"/>
  <c r="BB28" i="1"/>
  <c r="BB29" i="1"/>
  <c r="BB30" i="1"/>
  <c r="DF30" i="1" s="1"/>
  <c r="BB31" i="1"/>
  <c r="BB32" i="1"/>
  <c r="DF32" i="1" s="1"/>
  <c r="BB33" i="1"/>
  <c r="DF33" i="1" s="1"/>
  <c r="BB2" i="1"/>
  <c r="DF2" i="1" s="1"/>
  <c r="BA3" i="1"/>
  <c r="BA4" i="1"/>
  <c r="BA5" i="1"/>
  <c r="BA6" i="1"/>
  <c r="BA8" i="1"/>
  <c r="BA7" i="1"/>
  <c r="BA9" i="1"/>
  <c r="BA10" i="1"/>
  <c r="BA16" i="1"/>
  <c r="BA18" i="1"/>
  <c r="BA11" i="1"/>
  <c r="BA20" i="1"/>
  <c r="BA13" i="1"/>
  <c r="BA14" i="1"/>
  <c r="BA15" i="1"/>
  <c r="BA23" i="1"/>
  <c r="BA19" i="1"/>
  <c r="BA12" i="1"/>
  <c r="BA17" i="1"/>
  <c r="BA22" i="1"/>
  <c r="BA21" i="1"/>
  <c r="BA24" i="1"/>
  <c r="BA25" i="1"/>
  <c r="BA26" i="1"/>
  <c r="BA27" i="1"/>
  <c r="BA28" i="1"/>
  <c r="BA29" i="1"/>
  <c r="BA30" i="1"/>
  <c r="BA31" i="1"/>
  <c r="BA32" i="1"/>
  <c r="BA33" i="1"/>
  <c r="BA2" i="1"/>
  <c r="AY3" i="1"/>
  <c r="DD3" i="1" s="1"/>
  <c r="DP3" i="1" s="1"/>
  <c r="AY4" i="1"/>
  <c r="DD4" i="1" s="1"/>
  <c r="AY5" i="1"/>
  <c r="DD5" i="1" s="1"/>
  <c r="DP5" i="1" s="1"/>
  <c r="AY6" i="1"/>
  <c r="DD6" i="1" s="1"/>
  <c r="DP6" i="1" s="1"/>
  <c r="AY8" i="1"/>
  <c r="DD8" i="1" s="1"/>
  <c r="DP8" i="1" s="1"/>
  <c r="AY7" i="1"/>
  <c r="DD7" i="1" s="1"/>
  <c r="DP7" i="1" s="1"/>
  <c r="AY9" i="1"/>
  <c r="DD9" i="1" s="1"/>
  <c r="DP9" i="1" s="1"/>
  <c r="AY10" i="1"/>
  <c r="DD10" i="1" s="1"/>
  <c r="DP10" i="1" s="1"/>
  <c r="AY16" i="1"/>
  <c r="AY18" i="1"/>
  <c r="DD18" i="1" s="1"/>
  <c r="DP18" i="1" s="1"/>
  <c r="AY11" i="1"/>
  <c r="DD11" i="1" s="1"/>
  <c r="DP11" i="1" s="1"/>
  <c r="AY20" i="1"/>
  <c r="DD20" i="1" s="1"/>
  <c r="DP20" i="1" s="1"/>
  <c r="AY13" i="1"/>
  <c r="DD13" i="1" s="1"/>
  <c r="AY14" i="1"/>
  <c r="DD14" i="1" s="1"/>
  <c r="DP14" i="1" s="1"/>
  <c r="AY15" i="1"/>
  <c r="DD15" i="1" s="1"/>
  <c r="DP15" i="1" s="1"/>
  <c r="AY23" i="1"/>
  <c r="DD23" i="1" s="1"/>
  <c r="DP23" i="1" s="1"/>
  <c r="AY19" i="1"/>
  <c r="DD19" i="1" s="1"/>
  <c r="DP19" i="1" s="1"/>
  <c r="AY12" i="1"/>
  <c r="DD12" i="1" s="1"/>
  <c r="DP12" i="1" s="1"/>
  <c r="AY17" i="1"/>
  <c r="DD17" i="1" s="1"/>
  <c r="DP17" i="1" s="1"/>
  <c r="AY22" i="1"/>
  <c r="DD22" i="1" s="1"/>
  <c r="AY21" i="1"/>
  <c r="DD21" i="1" s="1"/>
  <c r="DP21" i="1" s="1"/>
  <c r="AY24" i="1"/>
  <c r="DD24" i="1" s="1"/>
  <c r="DP24" i="1" s="1"/>
  <c r="AY25" i="1"/>
  <c r="DD25" i="1" s="1"/>
  <c r="DP25" i="1" s="1"/>
  <c r="AY26" i="1"/>
  <c r="DD26" i="1" s="1"/>
  <c r="DP26" i="1" s="1"/>
  <c r="AY27" i="1"/>
  <c r="DD27" i="1" s="1"/>
  <c r="DP27" i="1" s="1"/>
  <c r="AY28" i="1"/>
  <c r="DD28" i="1" s="1"/>
  <c r="DP28" i="1" s="1"/>
  <c r="AY29" i="1"/>
  <c r="DD29" i="1" s="1"/>
  <c r="AY30" i="1"/>
  <c r="DD30" i="1" s="1"/>
  <c r="DP30" i="1" s="1"/>
  <c r="AY31" i="1"/>
  <c r="DD31" i="1" s="1"/>
  <c r="AY32" i="1"/>
  <c r="DD32" i="1" s="1"/>
  <c r="DP32" i="1" s="1"/>
  <c r="AY33" i="1"/>
  <c r="DD33" i="1" s="1"/>
  <c r="DP33" i="1" s="1"/>
  <c r="AY2" i="1"/>
  <c r="DD2" i="1" s="1"/>
  <c r="DP2" i="1" s="1"/>
  <c r="AY3" i="2"/>
  <c r="AY4" i="2"/>
  <c r="AY5" i="2"/>
  <c r="AY6" i="2"/>
  <c r="AY7" i="2"/>
  <c r="AY8" i="2"/>
  <c r="AY9" i="2"/>
  <c r="AY10" i="2"/>
  <c r="AY11" i="2"/>
  <c r="AY12" i="2"/>
  <c r="AY13" i="2"/>
  <c r="AY14" i="2"/>
  <c r="AY15" i="2"/>
  <c r="AY16" i="2"/>
  <c r="AY17" i="2"/>
  <c r="AY18" i="2"/>
  <c r="AY19" i="2"/>
  <c r="AY20" i="2"/>
  <c r="AY21" i="2"/>
  <c r="AY22" i="2"/>
  <c r="AY23" i="2"/>
  <c r="AY24" i="2"/>
  <c r="AY25" i="2"/>
  <c r="AY27" i="2"/>
  <c r="AY26" i="2"/>
  <c r="AY28" i="2"/>
  <c r="AY29" i="2"/>
  <c r="AY30" i="2"/>
  <c r="AY31" i="2"/>
  <c r="AY32" i="2"/>
  <c r="AY33" i="2"/>
  <c r="AY2" i="2"/>
  <c r="AZ3" i="2"/>
  <c r="AZ4" i="2"/>
  <c r="AZ5" i="2"/>
  <c r="AZ6" i="2"/>
  <c r="AZ7" i="2"/>
  <c r="BA7" i="2" s="1"/>
  <c r="AZ8" i="2"/>
  <c r="AZ9" i="2"/>
  <c r="AZ10" i="2"/>
  <c r="BA10" i="2" s="1"/>
  <c r="AZ11" i="2"/>
  <c r="BA11" i="2" s="1"/>
  <c r="AZ12" i="2"/>
  <c r="BA12" i="2" s="1"/>
  <c r="AZ13" i="2"/>
  <c r="BA13" i="2" s="1"/>
  <c r="AZ14" i="2"/>
  <c r="BA14" i="2" s="1"/>
  <c r="AZ15" i="2"/>
  <c r="BA15" i="2" s="1"/>
  <c r="AZ16" i="2"/>
  <c r="AZ17" i="2"/>
  <c r="BA17" i="2" s="1"/>
  <c r="AZ18" i="2"/>
  <c r="BA18" i="2" s="1"/>
  <c r="AZ19" i="2"/>
  <c r="AZ20" i="2"/>
  <c r="AZ21" i="2"/>
  <c r="BA21" i="2" s="1"/>
  <c r="AZ22" i="2"/>
  <c r="BA22" i="2" s="1"/>
  <c r="AZ23" i="2"/>
  <c r="BA23" i="2" s="1"/>
  <c r="AZ24" i="2"/>
  <c r="AZ25" i="2"/>
  <c r="BA25" i="2" s="1"/>
  <c r="AZ27" i="2"/>
  <c r="AZ26" i="2"/>
  <c r="BA26" i="2" s="1"/>
  <c r="AZ28" i="2"/>
  <c r="BA28" i="2" s="1"/>
  <c r="AZ29" i="2"/>
  <c r="BA29" i="2" s="1"/>
  <c r="AZ30" i="2"/>
  <c r="BA30" i="2" s="1"/>
  <c r="AZ31" i="2"/>
  <c r="AZ32" i="2"/>
  <c r="BA32" i="2" s="1"/>
  <c r="AZ33" i="2"/>
  <c r="BA33" i="2" s="1"/>
  <c r="AZ2" i="2"/>
  <c r="BA2" i="2" s="1"/>
  <c r="AO33" i="2"/>
  <c r="AV33" i="2" s="1"/>
  <c r="AO32" i="2"/>
  <c r="AV32" i="2" s="1"/>
  <c r="AO27" i="2"/>
  <c r="AO3" i="1"/>
  <c r="AV3" i="1" s="1"/>
  <c r="AO5" i="1"/>
  <c r="AV5" i="1" s="1"/>
  <c r="AO6" i="1"/>
  <c r="AV6" i="1" s="1"/>
  <c r="AO8" i="1"/>
  <c r="AV8" i="1" s="1"/>
  <c r="AO7" i="1"/>
  <c r="AO10" i="1"/>
  <c r="AV10" i="1" s="1"/>
  <c r="AO16" i="1"/>
  <c r="AO18" i="1"/>
  <c r="AO11" i="1"/>
  <c r="AV11" i="1" s="1"/>
  <c r="AO20" i="1"/>
  <c r="AV20" i="1" s="1"/>
  <c r="AO13" i="1"/>
  <c r="AV13" i="1" s="1"/>
  <c r="AO14" i="1"/>
  <c r="AV14" i="1" s="1"/>
  <c r="AO15" i="1"/>
  <c r="AO23" i="1"/>
  <c r="AV23" i="1" s="1"/>
  <c r="AO19" i="1"/>
  <c r="AV19" i="1" s="1"/>
  <c r="AO12" i="1"/>
  <c r="AV12" i="1" s="1"/>
  <c r="AO17" i="1"/>
  <c r="AV17" i="1" s="1"/>
  <c r="AO22" i="1"/>
  <c r="AV22" i="1" s="1"/>
  <c r="AO21" i="1"/>
  <c r="AO24" i="1"/>
  <c r="AV24" i="1" s="1"/>
  <c r="AO25" i="1"/>
  <c r="AO26" i="1"/>
  <c r="AO27" i="1"/>
  <c r="AV27" i="1" s="1"/>
  <c r="AO28" i="1"/>
  <c r="AV28" i="1" s="1"/>
  <c r="AO29" i="1"/>
  <c r="AV29" i="1" s="1"/>
  <c r="AO30" i="1"/>
  <c r="AV30" i="1" s="1"/>
  <c r="AO31" i="1"/>
  <c r="AO32" i="1"/>
  <c r="AV32" i="1" s="1"/>
  <c r="AO33" i="1"/>
  <c r="AO2" i="1"/>
  <c r="H13" i="10"/>
  <c r="CP31" i="1" l="1"/>
  <c r="DB12" i="1"/>
  <c r="DP4" i="1"/>
  <c r="DP22" i="1"/>
  <c r="DD16" i="1"/>
  <c r="DP16" i="1" s="1"/>
  <c r="CN22" i="1"/>
  <c r="CZ22" i="1" s="1"/>
  <c r="DJ22" i="1"/>
  <c r="CN6" i="1"/>
  <c r="CZ6" i="1" s="1"/>
  <c r="DJ6" i="1"/>
  <c r="CJ28" i="1"/>
  <c r="CX28" i="1" s="1"/>
  <c r="DF28" i="1"/>
  <c r="CN12" i="1"/>
  <c r="CZ12" i="1" s="1"/>
  <c r="DJ12" i="1"/>
  <c r="DN12" i="1" s="1"/>
  <c r="CJ27" i="1"/>
  <c r="CX27" i="1" s="1"/>
  <c r="DF27" i="1"/>
  <c r="CJ19" i="1"/>
  <c r="CX19" i="1" s="1"/>
  <c r="DF19" i="1"/>
  <c r="CJ3" i="1"/>
  <c r="CX3" i="1" s="1"/>
  <c r="DF3" i="1"/>
  <c r="CN19" i="1"/>
  <c r="DJ19" i="1"/>
  <c r="CJ25" i="1"/>
  <c r="DF25" i="1"/>
  <c r="CJ9" i="1"/>
  <c r="CX9" i="1" s="1"/>
  <c r="DF9" i="1"/>
  <c r="CN33" i="1"/>
  <c r="CZ33" i="1" s="1"/>
  <c r="DJ33" i="1"/>
  <c r="CN25" i="1"/>
  <c r="CZ25" i="1" s="1"/>
  <c r="DJ25" i="1"/>
  <c r="CN9" i="1"/>
  <c r="DJ9" i="1"/>
  <c r="DN15" i="1"/>
  <c r="DP31" i="1"/>
  <c r="CJ21" i="1"/>
  <c r="CX21" i="1" s="1"/>
  <c r="DF21" i="1"/>
  <c r="CJ13" i="1"/>
  <c r="DF13" i="1"/>
  <c r="DN13" i="1" s="1"/>
  <c r="CN31" i="1"/>
  <c r="CZ31" i="1" s="1"/>
  <c r="DJ31" i="1"/>
  <c r="CN13" i="1"/>
  <c r="DJ13" i="1"/>
  <c r="DL13" i="1"/>
  <c r="DP13" i="1" s="1"/>
  <c r="CP13" i="1"/>
  <c r="BP22" i="1"/>
  <c r="DF22" i="1"/>
  <c r="BP6" i="1"/>
  <c r="DF6" i="1"/>
  <c r="DP29" i="1"/>
  <c r="CJ17" i="1"/>
  <c r="CX17" i="1" s="1"/>
  <c r="DF17" i="1"/>
  <c r="CJ11" i="1"/>
  <c r="CX11" i="1" s="1"/>
  <c r="DF11" i="1"/>
  <c r="CJ18" i="1"/>
  <c r="CX18" i="1" s="1"/>
  <c r="DF18" i="1"/>
  <c r="CJ4" i="1"/>
  <c r="CX4" i="1" s="1"/>
  <c r="DF4" i="1"/>
  <c r="CN18" i="1"/>
  <c r="CZ18" i="1" s="1"/>
  <c r="DJ18" i="1"/>
  <c r="BP16" i="1"/>
  <c r="DF16" i="1"/>
  <c r="BQ16" i="1"/>
  <c r="DJ16" i="1"/>
  <c r="BQ3" i="1"/>
  <c r="DJ3" i="1"/>
  <c r="CJ24" i="1"/>
  <c r="CX24" i="1" s="1"/>
  <c r="DF24" i="1"/>
  <c r="DN24" i="1" s="1"/>
  <c r="CJ14" i="1"/>
  <c r="CX14" i="1" s="1"/>
  <c r="DF14" i="1"/>
  <c r="CJ7" i="1"/>
  <c r="CX7" i="1" s="1"/>
  <c r="DF7" i="1"/>
  <c r="CN32" i="1"/>
  <c r="DJ32" i="1"/>
  <c r="DN32" i="1" s="1"/>
  <c r="CN14" i="1"/>
  <c r="CZ14" i="1" s="1"/>
  <c r="DJ14" i="1"/>
  <c r="CN7" i="1"/>
  <c r="DJ7" i="1"/>
  <c r="DN30" i="1"/>
  <c r="DN20" i="1"/>
  <c r="CJ31" i="1"/>
  <c r="CX31" i="1" s="1"/>
  <c r="DF31" i="1"/>
  <c r="BP8" i="1"/>
  <c r="DF8" i="1"/>
  <c r="BQ8" i="1"/>
  <c r="DJ8" i="1"/>
  <c r="CN29" i="1"/>
  <c r="CZ29" i="1" s="1"/>
  <c r="DJ29" i="1"/>
  <c r="CN17" i="1"/>
  <c r="CZ17" i="1" s="1"/>
  <c r="DJ17" i="1"/>
  <c r="CN11" i="1"/>
  <c r="DJ11" i="1"/>
  <c r="CN5" i="1"/>
  <c r="CZ5" i="1" s="1"/>
  <c r="DJ5" i="1"/>
  <c r="DN5" i="1" s="1"/>
  <c r="DN33" i="1"/>
  <c r="CN21" i="1"/>
  <c r="DJ21" i="1"/>
  <c r="CN20" i="1"/>
  <c r="CZ20" i="1" s="1"/>
  <c r="DJ20" i="1"/>
  <c r="CJ29" i="1"/>
  <c r="CX29" i="1" s="1"/>
  <c r="DF29" i="1"/>
  <c r="CN28" i="1"/>
  <c r="CZ28" i="1" s="1"/>
  <c r="DJ28" i="1"/>
  <c r="CN4" i="1"/>
  <c r="CZ4" i="1" s="1"/>
  <c r="DJ4" i="1"/>
  <c r="CN27" i="1"/>
  <c r="CZ27" i="1" s="1"/>
  <c r="DJ27" i="1"/>
  <c r="BP26" i="1"/>
  <c r="DF26" i="1"/>
  <c r="DN26" i="1" s="1"/>
  <c r="CJ10" i="1"/>
  <c r="CX10" i="1" s="1"/>
  <c r="DF10" i="1"/>
  <c r="DN10" i="1" s="1"/>
  <c r="BQ2" i="1"/>
  <c r="DJ2" i="1"/>
  <c r="DN2" i="1" s="1"/>
  <c r="BQ26" i="1"/>
  <c r="DJ26" i="1"/>
  <c r="CN23" i="1"/>
  <c r="CZ23" i="1" s="1"/>
  <c r="DJ23" i="1"/>
  <c r="DN23" i="1" s="1"/>
  <c r="CP2" i="1"/>
  <c r="CL13" i="1"/>
  <c r="CX13" i="1" s="1"/>
  <c r="CL16" i="1"/>
  <c r="CW3" i="1"/>
  <c r="CW27" i="1"/>
  <c r="CS3" i="1"/>
  <c r="CS28" i="1"/>
  <c r="BP30" i="1"/>
  <c r="CS29" i="1"/>
  <c r="CN24" i="1"/>
  <c r="CZ24" i="1" s="1"/>
  <c r="CP19" i="1"/>
  <c r="BQ30" i="1"/>
  <c r="CP30" i="1"/>
  <c r="CJ15" i="1"/>
  <c r="CL15" i="1"/>
  <c r="CS21" i="1"/>
  <c r="CP32" i="1"/>
  <c r="CP21" i="1"/>
  <c r="CL32" i="1"/>
  <c r="CY30" i="1"/>
  <c r="CY6" i="1"/>
  <c r="CY22" i="1"/>
  <c r="CY14" i="1"/>
  <c r="BK18" i="1"/>
  <c r="AV18" i="1"/>
  <c r="BK21" i="1"/>
  <c r="AV21" i="1"/>
  <c r="BK16" i="1"/>
  <c r="AV16" i="1"/>
  <c r="BK31" i="1"/>
  <c r="AV31" i="1"/>
  <c r="CL25" i="1"/>
  <c r="BK26" i="1"/>
  <c r="AV26" i="1"/>
  <c r="BK33" i="1"/>
  <c r="AV33" i="1"/>
  <c r="BK25" i="1"/>
  <c r="AV25" i="1"/>
  <c r="BK15" i="1"/>
  <c r="AV15" i="1"/>
  <c r="BK7" i="1"/>
  <c r="AV7" i="1"/>
  <c r="CN15" i="1"/>
  <c r="CZ15" i="1" s="1"/>
  <c r="BK3" i="1"/>
  <c r="BK30" i="1"/>
  <c r="BK20" i="1"/>
  <c r="CS12" i="1"/>
  <c r="BK27" i="1"/>
  <c r="BK13" i="1"/>
  <c r="BK23" i="1"/>
  <c r="BK10" i="1"/>
  <c r="BK29" i="1"/>
  <c r="BK11" i="1"/>
  <c r="BP20" i="1"/>
  <c r="CS18" i="1"/>
  <c r="CP11" i="1"/>
  <c r="BK6" i="1"/>
  <c r="CP9" i="1"/>
  <c r="BK22" i="1"/>
  <c r="BK5" i="1"/>
  <c r="CJ32" i="1"/>
  <c r="CS4" i="1"/>
  <c r="CW4" i="1"/>
  <c r="BK17" i="1"/>
  <c r="BK28" i="1"/>
  <c r="BK12" i="1"/>
  <c r="CL20" i="1"/>
  <c r="BK19" i="1"/>
  <c r="BK32" i="1"/>
  <c r="BK24" i="1"/>
  <c r="BK14" i="1"/>
  <c r="BK8" i="1"/>
  <c r="CJ5" i="1"/>
  <c r="CX5" i="1" s="1"/>
  <c r="CU32" i="1"/>
  <c r="CU24" i="1"/>
  <c r="CU16" i="1"/>
  <c r="CP7" i="1"/>
  <c r="CZ7" i="1" s="1"/>
  <c r="CU8" i="1"/>
  <c r="CY32" i="1"/>
  <c r="CY24" i="1"/>
  <c r="CY16" i="1"/>
  <c r="CY8" i="1"/>
  <c r="CN10" i="1"/>
  <c r="CP10" i="1"/>
  <c r="CU26" i="1"/>
  <c r="CU18" i="1"/>
  <c r="CU10" i="1"/>
  <c r="CY26" i="1"/>
  <c r="CY18" i="1"/>
  <c r="CY10" i="1"/>
  <c r="CU23" i="1"/>
  <c r="CU15" i="1"/>
  <c r="CU7" i="1"/>
  <c r="CY31" i="1"/>
  <c r="CY23" i="1"/>
  <c r="CY15" i="1"/>
  <c r="CJ33" i="1"/>
  <c r="CX33" i="1" s="1"/>
  <c r="CY7" i="1"/>
  <c r="CU29" i="1"/>
  <c r="CY29" i="1"/>
  <c r="CY5" i="1"/>
  <c r="CU28" i="1"/>
  <c r="CU20" i="1"/>
  <c r="CU12" i="1"/>
  <c r="CU4" i="1"/>
  <c r="CY28" i="1"/>
  <c r="CY20" i="1"/>
  <c r="CY12" i="1"/>
  <c r="CY4" i="1"/>
  <c r="CU27" i="1"/>
  <c r="CU19" i="1"/>
  <c r="CU11" i="1"/>
  <c r="CU3" i="1"/>
  <c r="CY27" i="1"/>
  <c r="CY19" i="1"/>
  <c r="CY11" i="1"/>
  <c r="CY3" i="1"/>
  <c r="CU5" i="1"/>
  <c r="CY21" i="1"/>
  <c r="CU33" i="1"/>
  <c r="CU25" i="1"/>
  <c r="CU17" i="1"/>
  <c r="CU9" i="1"/>
  <c r="CY33" i="1"/>
  <c r="CY25" i="1"/>
  <c r="CY17" i="1"/>
  <c r="CY9" i="1"/>
  <c r="CU21" i="1"/>
  <c r="CU13" i="1"/>
  <c r="CY13" i="1"/>
  <c r="CU2" i="1"/>
  <c r="CY2" i="1"/>
  <c r="CU31" i="1"/>
  <c r="CU30" i="1"/>
  <c r="CU22" i="1"/>
  <c r="CU14" i="1"/>
  <c r="CU6" i="1"/>
  <c r="CQ27" i="1"/>
  <c r="BL27" i="1" s="1"/>
  <c r="CD27" i="1" s="1"/>
  <c r="CJ23" i="1"/>
  <c r="CX23" i="1" s="1"/>
  <c r="CQ30" i="1"/>
  <c r="BL30" i="1" s="1"/>
  <c r="CD30" i="1" s="1"/>
  <c r="CQ22" i="1"/>
  <c r="BL22" i="1" s="1"/>
  <c r="CD22" i="1" s="1"/>
  <c r="CQ14" i="1"/>
  <c r="BL14" i="1" s="1"/>
  <c r="CD14" i="1" s="1"/>
  <c r="CQ2" i="1"/>
  <c r="CQ19" i="1"/>
  <c r="BL19" i="1" s="1"/>
  <c r="CD19" i="1" s="1"/>
  <c r="CQ32" i="1"/>
  <c r="BL32" i="1" s="1"/>
  <c r="CD32" i="1" s="1"/>
  <c r="CQ24" i="1"/>
  <c r="BL24" i="1" s="1"/>
  <c r="CD24" i="1" s="1"/>
  <c r="CQ16" i="1"/>
  <c r="BL16" i="1" s="1"/>
  <c r="CD16" i="1" s="1"/>
  <c r="CQ8" i="1"/>
  <c r="BL8" i="1" s="1"/>
  <c r="CD8" i="1" s="1"/>
  <c r="CQ11" i="1"/>
  <c r="BL11" i="1" s="1"/>
  <c r="CD11" i="1" s="1"/>
  <c r="CQ3" i="1"/>
  <c r="BL3" i="1" s="1"/>
  <c r="CD3" i="1" s="1"/>
  <c r="CQ26" i="1"/>
  <c r="BL26" i="1" s="1"/>
  <c r="CD26" i="1" s="1"/>
  <c r="CQ18" i="1"/>
  <c r="CQ10" i="1"/>
  <c r="BL10" i="1" s="1"/>
  <c r="CD10" i="1" s="1"/>
  <c r="CS2" i="1"/>
  <c r="CH27" i="1"/>
  <c r="CT27" i="1" s="1"/>
  <c r="CH19" i="1"/>
  <c r="CH3" i="1"/>
  <c r="CT3" i="1" s="1"/>
  <c r="CQ31" i="1"/>
  <c r="BL31" i="1" s="1"/>
  <c r="CD31" i="1" s="1"/>
  <c r="CQ23" i="1"/>
  <c r="BL23" i="1" s="1"/>
  <c r="CD23" i="1" s="1"/>
  <c r="CQ15" i="1"/>
  <c r="BL15" i="1" s="1"/>
  <c r="CD15" i="1" s="1"/>
  <c r="CQ7" i="1"/>
  <c r="BL7" i="1" s="1"/>
  <c r="CD7" i="1" s="1"/>
  <c r="CQ29" i="1"/>
  <c r="CQ21" i="1"/>
  <c r="CQ5" i="1"/>
  <c r="BL5" i="1" s="1"/>
  <c r="CD5" i="1" s="1"/>
  <c r="CQ28" i="1"/>
  <c r="CQ20" i="1"/>
  <c r="BL20" i="1" s="1"/>
  <c r="CD20" i="1" s="1"/>
  <c r="CQ12" i="1"/>
  <c r="CQ4" i="1"/>
  <c r="CJ2" i="1"/>
  <c r="CX2" i="1" s="1"/>
  <c r="CQ6" i="1"/>
  <c r="BL6" i="1" s="1"/>
  <c r="CD6" i="1" s="1"/>
  <c r="CQ13" i="1"/>
  <c r="BL13" i="1" s="1"/>
  <c r="CD13" i="1" s="1"/>
  <c r="CQ33" i="1"/>
  <c r="BL33" i="1" s="1"/>
  <c r="CD33" i="1" s="1"/>
  <c r="CQ25" i="1"/>
  <c r="BL25" i="1" s="1"/>
  <c r="CD25" i="1" s="1"/>
  <c r="CQ17" i="1"/>
  <c r="BL17" i="1" s="1"/>
  <c r="CD17" i="1" s="1"/>
  <c r="CQ9" i="1"/>
  <c r="BL9" i="1" s="1"/>
  <c r="CD9" i="1" s="1"/>
  <c r="CF9" i="1"/>
  <c r="CN3" i="1"/>
  <c r="CZ3" i="1" s="1"/>
  <c r="CN2" i="1"/>
  <c r="CN26" i="1"/>
  <c r="CZ26" i="1" s="1"/>
  <c r="CN16" i="1"/>
  <c r="CZ16" i="1" s="1"/>
  <c r="CN8" i="1"/>
  <c r="CZ8" i="1" s="1"/>
  <c r="CF24" i="1"/>
  <c r="CH32" i="1"/>
  <c r="CH8" i="1"/>
  <c r="CT8" i="1" s="1"/>
  <c r="CN30" i="1"/>
  <c r="CF16" i="1"/>
  <c r="CF20" i="1"/>
  <c r="CH28" i="1"/>
  <c r="CT28" i="1" s="1"/>
  <c r="CH12" i="1"/>
  <c r="CT12" i="1" s="1"/>
  <c r="CH4" i="1"/>
  <c r="CT4" i="1" s="1"/>
  <c r="CF8" i="1"/>
  <c r="CH11" i="1"/>
  <c r="CT11" i="1" s="1"/>
  <c r="CF18" i="1"/>
  <c r="CH18" i="1"/>
  <c r="CT18" i="1" s="1"/>
  <c r="CF33" i="1"/>
  <c r="CF25" i="1"/>
  <c r="CF17" i="1"/>
  <c r="CH17" i="1"/>
  <c r="CT17" i="1" s="1"/>
  <c r="CF32" i="1"/>
  <c r="CH24" i="1"/>
  <c r="CT24" i="1" s="1"/>
  <c r="CH16" i="1"/>
  <c r="CF29" i="1"/>
  <c r="CF21" i="1"/>
  <c r="CF13" i="1"/>
  <c r="CF5" i="1"/>
  <c r="CH29" i="1"/>
  <c r="CT29" i="1" s="1"/>
  <c r="CH21" i="1"/>
  <c r="CH13" i="1"/>
  <c r="CH5" i="1"/>
  <c r="CT5" i="1" s="1"/>
  <c r="CJ30" i="1"/>
  <c r="CX30" i="1" s="1"/>
  <c r="CH20" i="1"/>
  <c r="CT20" i="1" s="1"/>
  <c r="CF27" i="1"/>
  <c r="CF19" i="1"/>
  <c r="CF11" i="1"/>
  <c r="CF3" i="1"/>
  <c r="CF26" i="1"/>
  <c r="CF10" i="1"/>
  <c r="CJ8" i="1"/>
  <c r="CX8" i="1" s="1"/>
  <c r="CH33" i="1"/>
  <c r="CT33" i="1" s="1"/>
  <c r="CH25" i="1"/>
  <c r="CJ6" i="1"/>
  <c r="CX6" i="1" s="1"/>
  <c r="CH2" i="1"/>
  <c r="CT2" i="1" s="1"/>
  <c r="CH9" i="1"/>
  <c r="CF28" i="1"/>
  <c r="CF12" i="1"/>
  <c r="CF4" i="1"/>
  <c r="CF31" i="1"/>
  <c r="CF23" i="1"/>
  <c r="CF15" i="1"/>
  <c r="CF7" i="1"/>
  <c r="CH31" i="1"/>
  <c r="CT31" i="1" s="1"/>
  <c r="CH23" i="1"/>
  <c r="CT23" i="1" s="1"/>
  <c r="CH15" i="1"/>
  <c r="CH7" i="1"/>
  <c r="CJ22" i="1"/>
  <c r="CX22" i="1" s="1"/>
  <c r="CF2" i="1"/>
  <c r="CH26" i="1"/>
  <c r="CT26" i="1" s="1"/>
  <c r="CH10" i="1"/>
  <c r="CF30" i="1"/>
  <c r="CF22" i="1"/>
  <c r="CF14" i="1"/>
  <c r="CF6" i="1"/>
  <c r="CH30" i="1"/>
  <c r="CH22" i="1"/>
  <c r="CT22" i="1" s="1"/>
  <c r="CH14" i="1"/>
  <c r="CT14" i="1" s="1"/>
  <c r="CH6" i="1"/>
  <c r="CT6" i="1" s="1"/>
  <c r="CJ16" i="1"/>
  <c r="BP12" i="1"/>
  <c r="CJ26" i="1"/>
  <c r="CX26" i="1" s="1"/>
  <c r="CJ20" i="1"/>
  <c r="CJ12" i="1"/>
  <c r="CX12" i="1" s="1"/>
  <c r="BQ22" i="1"/>
  <c r="BP13" i="1"/>
  <c r="CA31" i="1"/>
  <c r="CC31" i="1" s="1"/>
  <c r="CA4" i="1"/>
  <c r="CC4" i="1" s="1"/>
  <c r="CA20" i="1"/>
  <c r="CC20" i="1" s="1"/>
  <c r="CA16" i="1"/>
  <c r="CC16" i="1" s="1"/>
  <c r="CA24" i="1"/>
  <c r="CC24" i="1" s="1"/>
  <c r="CA30" i="1"/>
  <c r="CC30" i="1" s="1"/>
  <c r="CA29" i="1"/>
  <c r="CC29" i="1" s="1"/>
  <c r="CA21" i="1"/>
  <c r="CC21" i="1" s="1"/>
  <c r="CA13" i="1"/>
  <c r="CC13" i="1" s="1"/>
  <c r="BA27" i="2"/>
  <c r="BF9" i="2"/>
  <c r="BG33" i="2"/>
  <c r="BG32" i="2"/>
  <c r="BF25" i="2"/>
  <c r="BG25" i="2"/>
  <c r="BF2" i="2"/>
  <c r="BF26" i="2"/>
  <c r="BF18" i="2"/>
  <c r="BF10" i="2"/>
  <c r="BG2" i="2"/>
  <c r="BG26" i="2"/>
  <c r="BG18" i="2"/>
  <c r="BG10" i="2"/>
  <c r="BF33" i="2"/>
  <c r="BG17" i="2"/>
  <c r="BF16" i="2"/>
  <c r="BG8" i="2"/>
  <c r="BF31" i="2"/>
  <c r="BF23" i="2"/>
  <c r="BF15" i="2"/>
  <c r="BF7" i="2"/>
  <c r="BG31" i="2"/>
  <c r="BG23" i="2"/>
  <c r="BG15" i="2"/>
  <c r="BG7" i="2"/>
  <c r="BG9" i="2"/>
  <c r="BF30" i="2"/>
  <c r="BF22" i="2"/>
  <c r="BF14" i="2"/>
  <c r="BF6" i="2"/>
  <c r="BG30" i="2"/>
  <c r="BG22" i="2"/>
  <c r="BG14" i="2"/>
  <c r="BG6" i="2"/>
  <c r="BF24" i="2"/>
  <c r="BG24" i="2"/>
  <c r="BF29" i="2"/>
  <c r="BF21" i="2"/>
  <c r="BF13" i="2"/>
  <c r="BF5" i="2"/>
  <c r="BG29" i="2"/>
  <c r="BG21" i="2"/>
  <c r="BG13" i="2"/>
  <c r="BG5" i="2"/>
  <c r="BF32" i="2"/>
  <c r="BF8" i="2"/>
  <c r="BG16" i="2"/>
  <c r="BF28" i="2"/>
  <c r="BF20" i="2"/>
  <c r="BF12" i="2"/>
  <c r="BF4" i="2"/>
  <c r="BG28" i="2"/>
  <c r="BG20" i="2"/>
  <c r="BG12" i="2"/>
  <c r="BG4" i="2"/>
  <c r="BF17" i="2"/>
  <c r="BF27" i="2"/>
  <c r="BF19" i="2"/>
  <c r="BF11" i="2"/>
  <c r="BF3" i="2"/>
  <c r="BG27" i="2"/>
  <c r="BG19" i="2"/>
  <c r="BG11" i="2"/>
  <c r="BG3" i="2"/>
  <c r="BA3" i="2"/>
  <c r="BA20" i="2"/>
  <c r="BA31" i="2"/>
  <c r="BA9" i="2"/>
  <c r="BA24" i="2"/>
  <c r="CA5" i="1"/>
  <c r="CC5" i="1" s="1"/>
  <c r="BO21" i="1"/>
  <c r="CA28" i="1"/>
  <c r="CC28" i="1" s="1"/>
  <c r="CA12" i="1"/>
  <c r="CC12" i="1" s="1"/>
  <c r="CA14" i="1"/>
  <c r="CC14" i="1" s="1"/>
  <c r="CA6" i="1"/>
  <c r="CC6" i="1" s="1"/>
  <c r="BO31" i="1"/>
  <c r="CA11" i="1"/>
  <c r="CC11" i="1" s="1"/>
  <c r="CA3" i="1"/>
  <c r="CC3" i="1" s="1"/>
  <c r="CA26" i="1"/>
  <c r="CC26" i="1" s="1"/>
  <c r="CA18" i="1"/>
  <c r="CC18" i="1" s="1"/>
  <c r="CA27" i="1"/>
  <c r="CC27" i="1" s="1"/>
  <c r="CA19" i="1"/>
  <c r="CC19" i="1" s="1"/>
  <c r="CA17" i="1"/>
  <c r="CC17" i="1" s="1"/>
  <c r="BO30" i="1"/>
  <c r="BO22" i="1"/>
  <c r="CA15" i="1"/>
  <c r="CC15" i="1" s="1"/>
  <c r="CA7" i="1"/>
  <c r="CC7" i="1" s="1"/>
  <c r="CA22" i="1"/>
  <c r="CC22" i="1" s="1"/>
  <c r="CA33" i="1"/>
  <c r="CC33" i="1" s="1"/>
  <c r="CA25" i="1"/>
  <c r="CC25" i="1" s="1"/>
  <c r="CA9" i="1"/>
  <c r="CC9" i="1" s="1"/>
  <c r="CA2" i="1"/>
  <c r="CC2" i="1" s="1"/>
  <c r="CA23" i="1"/>
  <c r="CC23" i="1" s="1"/>
  <c r="CA10" i="1"/>
  <c r="CC10" i="1" s="1"/>
  <c r="CA32" i="1"/>
  <c r="CC32" i="1" s="1"/>
  <c r="BY2" i="1"/>
  <c r="CB2" i="1" s="1"/>
  <c r="BY32" i="1"/>
  <c r="CB32" i="1" s="1"/>
  <c r="BY24" i="1"/>
  <c r="CB24" i="1" s="1"/>
  <c r="BY8" i="1"/>
  <c r="CB8" i="1" s="1"/>
  <c r="CA8" i="1"/>
  <c r="CC8" i="1" s="1"/>
  <c r="BY16" i="1"/>
  <c r="CB16" i="1" s="1"/>
  <c r="BY26" i="1"/>
  <c r="CB26" i="1" s="1"/>
  <c r="BY10" i="1"/>
  <c r="CB10" i="1" s="1"/>
  <c r="BY33" i="1"/>
  <c r="CB33" i="1" s="1"/>
  <c r="BY25" i="1"/>
  <c r="CB25" i="1" s="1"/>
  <c r="BY9" i="1"/>
  <c r="CB9" i="1" s="1"/>
  <c r="BY29" i="1"/>
  <c r="CB29" i="1" s="1"/>
  <c r="BY21" i="1"/>
  <c r="CB21" i="1" s="1"/>
  <c r="BY13" i="1"/>
  <c r="CB13" i="1" s="1"/>
  <c r="BY5" i="1"/>
  <c r="CB5" i="1" s="1"/>
  <c r="BY17" i="1"/>
  <c r="CB17" i="1" s="1"/>
  <c r="BY27" i="1"/>
  <c r="CB27" i="1" s="1"/>
  <c r="BY19" i="1"/>
  <c r="CB19" i="1" s="1"/>
  <c r="BY11" i="1"/>
  <c r="CB11" i="1" s="1"/>
  <c r="BY3" i="1"/>
  <c r="CB3" i="1" s="1"/>
  <c r="BY18" i="1"/>
  <c r="CB18" i="1" s="1"/>
  <c r="BP3" i="1"/>
  <c r="BY31" i="1"/>
  <c r="CB31" i="1" s="1"/>
  <c r="BY23" i="1"/>
  <c r="CB23" i="1" s="1"/>
  <c r="BY15" i="1"/>
  <c r="CB15" i="1" s="1"/>
  <c r="BY7" i="1"/>
  <c r="CB7" i="1" s="1"/>
  <c r="BY30" i="1"/>
  <c r="CB30" i="1" s="1"/>
  <c r="BY22" i="1"/>
  <c r="CB22" i="1" s="1"/>
  <c r="BY14" i="1"/>
  <c r="CB14" i="1" s="1"/>
  <c r="BY6" i="1"/>
  <c r="CB6" i="1" s="1"/>
  <c r="BY28" i="1"/>
  <c r="CB28" i="1" s="1"/>
  <c r="BY20" i="1"/>
  <c r="CB20" i="1" s="1"/>
  <c r="BY12" i="1"/>
  <c r="CB12" i="1" s="1"/>
  <c r="BY4" i="1"/>
  <c r="CB4" i="1" s="1"/>
  <c r="BO14" i="1"/>
  <c r="BO7" i="1"/>
  <c r="BA6" i="2"/>
  <c r="BA8" i="2"/>
  <c r="BA5" i="2"/>
  <c r="BA16" i="2"/>
  <c r="BP28" i="1"/>
  <c r="BO16" i="1"/>
  <c r="BO3" i="1"/>
  <c r="BP29" i="1"/>
  <c r="BP17" i="1"/>
  <c r="BQ33" i="1"/>
  <c r="BQ25" i="1"/>
  <c r="BQ23" i="1"/>
  <c r="BQ10" i="1"/>
  <c r="BO33" i="1"/>
  <c r="BO23" i="1"/>
  <c r="BO10" i="1"/>
  <c r="BP11" i="1"/>
  <c r="BP5" i="1"/>
  <c r="BQ32" i="1"/>
  <c r="BQ24" i="1"/>
  <c r="BQ15" i="1"/>
  <c r="BQ9" i="1"/>
  <c r="BO25" i="1"/>
  <c r="BO32" i="1"/>
  <c r="BO24" i="1"/>
  <c r="BO15" i="1"/>
  <c r="BO9" i="1"/>
  <c r="BP27" i="1"/>
  <c r="BP19" i="1"/>
  <c r="BP18" i="1"/>
  <c r="BP4" i="1"/>
  <c r="BQ31" i="1"/>
  <c r="BQ21" i="1"/>
  <c r="BQ14" i="1"/>
  <c r="BQ7" i="1"/>
  <c r="BO13" i="1"/>
  <c r="BO8" i="1"/>
  <c r="BP23" i="1"/>
  <c r="BP10" i="1"/>
  <c r="BQ20" i="1"/>
  <c r="BQ6" i="1"/>
  <c r="BO29" i="1"/>
  <c r="BO17" i="1"/>
  <c r="BO20" i="1"/>
  <c r="BO6" i="1"/>
  <c r="BP32" i="1"/>
  <c r="BP24" i="1"/>
  <c r="BP15" i="1"/>
  <c r="BP9" i="1"/>
  <c r="BP2" i="1"/>
  <c r="BQ28" i="1"/>
  <c r="BQ12" i="1"/>
  <c r="BQ11" i="1"/>
  <c r="BQ5" i="1"/>
  <c r="BQ13" i="1"/>
  <c r="BO28" i="1"/>
  <c r="BO12" i="1"/>
  <c r="BP31" i="1"/>
  <c r="BP21" i="1"/>
  <c r="BP14" i="1"/>
  <c r="BP7" i="1"/>
  <c r="BQ27" i="1"/>
  <c r="BQ19" i="1"/>
  <c r="BQ18" i="1"/>
  <c r="BQ4" i="1"/>
  <c r="BQ29" i="1"/>
  <c r="BQ17" i="1"/>
  <c r="BO11" i="1"/>
  <c r="BO2" i="1"/>
  <c r="BO26" i="1"/>
  <c r="BO18" i="1"/>
  <c r="BO4" i="1"/>
  <c r="BO27" i="1"/>
  <c r="BO5" i="1"/>
  <c r="BP33" i="1"/>
  <c r="BP25" i="1"/>
  <c r="BO19" i="1"/>
  <c r="BA19" i="2"/>
  <c r="BA4" i="2"/>
  <c r="U23" i="8"/>
  <c r="U24" i="8"/>
  <c r="U25" i="8"/>
  <c r="U22" i="8"/>
  <c r="T23" i="8"/>
  <c r="T24" i="8"/>
  <c r="T25" i="8"/>
  <c r="T22" i="8"/>
  <c r="S23" i="8"/>
  <c r="S24" i="8"/>
  <c r="S25" i="8"/>
  <c r="S22" i="8"/>
  <c r="R23" i="8"/>
  <c r="R24" i="8"/>
  <c r="R25" i="8"/>
  <c r="R22" i="8"/>
  <c r="A34" i="3"/>
  <c r="B31" i="3" s="1"/>
  <c r="BJ2" i="1"/>
  <c r="BK2" i="1"/>
  <c r="O8" i="8"/>
  <c r="O9" i="8"/>
  <c r="O10" i="8"/>
  <c r="O11" i="8"/>
  <c r="O12" i="8"/>
  <c r="O13" i="8"/>
  <c r="O14" i="8"/>
  <c r="O15" i="8"/>
  <c r="O16" i="8"/>
  <c r="O17" i="8"/>
  <c r="O18" i="8"/>
  <c r="N8" i="8"/>
  <c r="N9" i="8"/>
  <c r="N10" i="8"/>
  <c r="N11" i="8"/>
  <c r="N12" i="8"/>
  <c r="N13" i="8"/>
  <c r="N14" i="8"/>
  <c r="N15" i="8"/>
  <c r="N16" i="8"/>
  <c r="N17" i="8"/>
  <c r="N18" i="8"/>
  <c r="O7" i="8"/>
  <c r="N7" i="8"/>
  <c r="O31" i="8"/>
  <c r="O30" i="8"/>
  <c r="O29" i="8"/>
  <c r="O28" i="8"/>
  <c r="M29" i="8"/>
  <c r="M30" i="8"/>
  <c r="M31" i="8"/>
  <c r="M32" i="8"/>
  <c r="M33" i="8"/>
  <c r="M34" i="8"/>
  <c r="M35" i="8"/>
  <c r="M36" i="8"/>
  <c r="M37" i="8"/>
  <c r="M38" i="8"/>
  <c r="M39" i="8"/>
  <c r="M28" i="8"/>
  <c r="L29" i="8"/>
  <c r="L30" i="8"/>
  <c r="L31" i="8"/>
  <c r="L32" i="8"/>
  <c r="L33" i="8"/>
  <c r="L34" i="8"/>
  <c r="L35" i="8"/>
  <c r="L36" i="8"/>
  <c r="L37" i="8"/>
  <c r="L38" i="8"/>
  <c r="L39" i="8"/>
  <c r="L28" i="8"/>
  <c r="K29" i="8"/>
  <c r="K30" i="8"/>
  <c r="K31" i="8"/>
  <c r="K32" i="8"/>
  <c r="K33" i="8"/>
  <c r="K34" i="8"/>
  <c r="K35" i="8"/>
  <c r="K36" i="8"/>
  <c r="K37" i="8"/>
  <c r="K38" i="8"/>
  <c r="K39" i="8"/>
  <c r="K28" i="8"/>
  <c r="J29" i="8"/>
  <c r="J30" i="8"/>
  <c r="J31" i="8"/>
  <c r="J32" i="8"/>
  <c r="J33" i="8"/>
  <c r="J34" i="8"/>
  <c r="J35" i="8"/>
  <c r="J36" i="8"/>
  <c r="J37" i="8"/>
  <c r="J38" i="8"/>
  <c r="J39" i="8"/>
  <c r="J28" i="8"/>
  <c r="AU12" i="2"/>
  <c r="AU24" i="2"/>
  <c r="AU19" i="2"/>
  <c r="AU29" i="2"/>
  <c r="AU4" i="2"/>
  <c r="AU5" i="2"/>
  <c r="AU21" i="2"/>
  <c r="AU13" i="2"/>
  <c r="AU9" i="2"/>
  <c r="AU31" i="2"/>
  <c r="AU17" i="2"/>
  <c r="AU20" i="2"/>
  <c r="AU18" i="2"/>
  <c r="AU8" i="2"/>
  <c r="AU7" i="2"/>
  <c r="AU10" i="2"/>
  <c r="AU16" i="2"/>
  <c r="AU3" i="2"/>
  <c r="AU2" i="2"/>
  <c r="AU23" i="2"/>
  <c r="AU6" i="2"/>
  <c r="AU25" i="2"/>
  <c r="AU14" i="2"/>
  <c r="AU28" i="2"/>
  <c r="AU11" i="2"/>
  <c r="AU26" i="2"/>
  <c r="AU30" i="2"/>
  <c r="AU22" i="2"/>
  <c r="AU15" i="2"/>
  <c r="DN11" i="1" l="1"/>
  <c r="CZ21" i="1"/>
  <c r="DN25" i="1"/>
  <c r="CX25" i="1"/>
  <c r="DN29" i="1"/>
  <c r="DN21" i="1"/>
  <c r="DN28" i="1"/>
  <c r="DN17" i="1"/>
  <c r="DN27" i="1"/>
  <c r="DN9" i="1"/>
  <c r="DN8" i="1"/>
  <c r="DN3" i="1"/>
  <c r="DN16" i="1"/>
  <c r="DN4" i="1"/>
  <c r="DN22" i="1"/>
  <c r="CT25" i="1"/>
  <c r="DN19" i="1"/>
  <c r="CZ19" i="1"/>
  <c r="DN14" i="1"/>
  <c r="CZ11" i="1"/>
  <c r="DN6" i="1"/>
  <c r="DN7" i="1"/>
  <c r="DN18" i="1"/>
  <c r="DN31" i="1"/>
  <c r="CZ13" i="1"/>
  <c r="CZ9" i="1"/>
  <c r="CZ32" i="1"/>
  <c r="CX16" i="1"/>
  <c r="CX32" i="1"/>
  <c r="CZ2" i="1"/>
  <c r="CT13" i="1"/>
  <c r="CT16" i="1"/>
  <c r="CX15" i="1"/>
  <c r="CT15" i="1"/>
  <c r="CZ10" i="1"/>
  <c r="CX20" i="1"/>
  <c r="CT7" i="1"/>
  <c r="CZ30" i="1"/>
  <c r="CT10" i="1"/>
  <c r="CV6" i="1"/>
  <c r="CR6" i="1"/>
  <c r="BM6" i="1" s="1"/>
  <c r="BN6" i="1" s="1"/>
  <c r="CV4" i="1"/>
  <c r="CR4" i="1"/>
  <c r="BM4" i="1" s="1"/>
  <c r="CT30" i="1"/>
  <c r="CV31" i="1"/>
  <c r="CR31" i="1"/>
  <c r="BM31" i="1" s="1"/>
  <c r="BN31" i="1" s="1"/>
  <c r="CV21" i="1"/>
  <c r="CR21" i="1"/>
  <c r="CV33" i="1"/>
  <c r="CR33" i="1"/>
  <c r="BM33" i="1" s="1"/>
  <c r="BN33" i="1" s="1"/>
  <c r="BU33" i="1" s="1"/>
  <c r="CV20" i="1"/>
  <c r="CR20" i="1"/>
  <c r="BM20" i="1" s="1"/>
  <c r="BN20" i="1" s="1"/>
  <c r="CV22" i="1"/>
  <c r="CR22" i="1"/>
  <c r="BM22" i="1" s="1"/>
  <c r="BN22" i="1" s="1"/>
  <c r="CV28" i="1"/>
  <c r="CR28" i="1"/>
  <c r="BM28" i="1" s="1"/>
  <c r="CV26" i="1"/>
  <c r="CR26" i="1"/>
  <c r="BM26" i="1" s="1"/>
  <c r="BN26" i="1" s="1"/>
  <c r="CV9" i="1"/>
  <c r="CR9" i="1"/>
  <c r="CV14" i="1"/>
  <c r="CR14" i="1"/>
  <c r="BM14" i="1" s="1"/>
  <c r="BN14" i="1" s="1"/>
  <c r="CV12" i="1"/>
  <c r="CR12" i="1"/>
  <c r="BM12" i="1" s="1"/>
  <c r="CV10" i="1"/>
  <c r="CR10" i="1"/>
  <c r="CV18" i="1"/>
  <c r="CR18" i="1"/>
  <c r="BM18" i="1" s="1"/>
  <c r="CV30" i="1"/>
  <c r="CR30" i="1"/>
  <c r="CT9" i="1"/>
  <c r="CV3" i="1"/>
  <c r="CR3" i="1"/>
  <c r="BM3" i="1" s="1"/>
  <c r="BN3" i="1" s="1"/>
  <c r="CT21" i="1"/>
  <c r="CV32" i="1"/>
  <c r="CR32" i="1"/>
  <c r="CV8" i="1"/>
  <c r="CR8" i="1"/>
  <c r="BM8" i="1" s="1"/>
  <c r="BN8" i="1" s="1"/>
  <c r="CT32" i="1"/>
  <c r="CV29" i="1"/>
  <c r="CR29" i="1"/>
  <c r="BM29" i="1" s="1"/>
  <c r="CV16" i="1"/>
  <c r="CR16" i="1"/>
  <c r="CV7" i="1"/>
  <c r="CR7" i="1"/>
  <c r="BM7" i="1" s="1"/>
  <c r="CV11" i="1"/>
  <c r="CR11" i="1"/>
  <c r="BM11" i="1" s="1"/>
  <c r="CV24" i="1"/>
  <c r="CR24" i="1"/>
  <c r="BM24" i="1" s="1"/>
  <c r="BN24" i="1" s="1"/>
  <c r="CV15" i="1"/>
  <c r="CR15" i="1"/>
  <c r="CV19" i="1"/>
  <c r="CR19" i="1"/>
  <c r="CV5" i="1"/>
  <c r="CR5" i="1"/>
  <c r="BM5" i="1" s="1"/>
  <c r="BN5" i="1" s="1"/>
  <c r="CV17" i="1"/>
  <c r="CR17" i="1"/>
  <c r="BM17" i="1" s="1"/>
  <c r="BN17" i="1" s="1"/>
  <c r="CR2" i="1"/>
  <c r="BM2" i="1" s="1"/>
  <c r="CV2" i="1"/>
  <c r="CV23" i="1"/>
  <c r="CR23" i="1"/>
  <c r="BM23" i="1" s="1"/>
  <c r="BN23" i="1" s="1"/>
  <c r="CV27" i="1"/>
  <c r="CR27" i="1"/>
  <c r="BM27" i="1" s="1"/>
  <c r="CV13" i="1"/>
  <c r="CR13" i="1"/>
  <c r="CV25" i="1"/>
  <c r="CR25" i="1"/>
  <c r="CT19" i="1"/>
  <c r="BL28" i="1"/>
  <c r="CD28" i="1" s="1"/>
  <c r="BL29" i="1"/>
  <c r="CD29" i="1" s="1"/>
  <c r="BL21" i="1"/>
  <c r="CD21" i="1" s="1"/>
  <c r="BL4" i="1"/>
  <c r="CD4" i="1" s="1"/>
  <c r="BL12" i="1"/>
  <c r="CD12" i="1" s="1"/>
  <c r="BL2" i="1"/>
  <c r="CD2" i="1" s="1"/>
  <c r="BL18" i="1"/>
  <c r="CD18" i="1" s="1"/>
  <c r="B33" i="3"/>
  <c r="B32" i="3"/>
  <c r="AV2" i="1"/>
  <c r="BM25" i="1" l="1"/>
  <c r="BN25" i="1" s="1"/>
  <c r="BM16" i="1"/>
  <c r="BN16" i="1" s="1"/>
  <c r="BM15" i="1"/>
  <c r="BN15" i="1" s="1"/>
  <c r="BM9" i="1"/>
  <c r="BN9" i="1" s="1"/>
  <c r="BM30" i="1"/>
  <c r="BN30" i="1" s="1"/>
  <c r="BM13" i="1"/>
  <c r="BN13" i="1" s="1"/>
  <c r="BM10" i="1"/>
  <c r="BN10" i="1" s="1"/>
  <c r="BN18" i="1"/>
  <c r="BM32" i="1"/>
  <c r="BM21" i="1"/>
  <c r="BN21" i="1" s="1"/>
  <c r="BM19" i="1"/>
  <c r="BN19" i="1" s="1"/>
  <c r="BN28" i="1"/>
  <c r="BN29" i="1"/>
  <c r="BN4" i="1"/>
  <c r="BN27" i="1"/>
  <c r="BU27" i="1" s="1"/>
  <c r="BN12" i="1"/>
  <c r="BN7" i="1"/>
  <c r="BN2" i="1"/>
  <c r="BN11" i="1"/>
  <c r="B34" i="3"/>
  <c r="BN32" i="1" l="1"/>
  <c r="BU3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 PC</author>
  </authors>
  <commentList>
    <comment ref="A1" authorId="0" shapeId="0" xr:uid="{431944E6-AB37-4191-BEF2-302BDFCF1484}">
      <text>
        <r>
          <rPr>
            <b/>
            <sz val="9"/>
            <color indexed="81"/>
            <rFont val="Tahoma"/>
            <charset val="1"/>
          </rPr>
          <t>USER PC:</t>
        </r>
        <r>
          <rPr>
            <sz val="9"/>
            <color indexed="81"/>
            <rFont val="Tahoma"/>
            <charset val="1"/>
          </rPr>
          <t xml:space="preserve">
For all columns of outcome, NA refers to cases where particular racial groups were not analyzed. NR refers to papers that did not do a specific type of analysis like bivariate or multivariate.</t>
        </r>
      </text>
    </comment>
    <comment ref="A4" authorId="0" shapeId="0" xr:uid="{2530A5A2-D76E-4C39-9657-FFA38A46F474}">
      <text>
        <r>
          <rPr>
            <b/>
            <sz val="9"/>
            <color indexed="81"/>
            <rFont val="Tahoma"/>
            <charset val="1"/>
          </rPr>
          <t>USER PC:</t>
        </r>
        <r>
          <rPr>
            <sz val="9"/>
            <color indexed="81"/>
            <rFont val="Tahoma"/>
            <charset val="1"/>
          </rPr>
          <t xml:space="preserve">
only multivariate done
Analaysed all questions in survey but reported results for the significant ones</t>
        </r>
      </text>
    </comment>
    <comment ref="K4" authorId="0" shapeId="0" xr:uid="{7BF2AEB9-F82B-4579-9F85-94997005AB79}">
      <text>
        <r>
          <rPr>
            <b/>
            <sz val="9"/>
            <color indexed="81"/>
            <rFont val="Tahoma"/>
            <charset val="1"/>
          </rPr>
          <t>USER PC:</t>
        </r>
        <r>
          <rPr>
            <sz val="9"/>
            <color indexed="81"/>
            <rFont val="Tahoma"/>
            <charset val="1"/>
          </rPr>
          <t xml:space="preserve">
CATI - random assignment of I's to R's</t>
        </r>
      </text>
    </comment>
    <comment ref="AN4" authorId="0" shapeId="0" xr:uid="{C31E4796-7D00-464A-835E-253222F98A9D}">
      <text>
        <r>
          <rPr>
            <b/>
            <sz val="9"/>
            <color indexed="81"/>
            <rFont val="Tahoma"/>
            <charset val="1"/>
          </rPr>
          <t>USER PC:</t>
        </r>
        <r>
          <rPr>
            <sz val="9"/>
            <color indexed="81"/>
            <rFont val="Tahoma"/>
            <charset val="1"/>
          </rPr>
          <t xml:space="preserve">
They listed all questions used in the analysis but the results are reported and discussed only for the ones that either showed ROI effect or were thought important by the authors</t>
        </r>
      </text>
    </comment>
    <comment ref="K5" authorId="0" shapeId="0" xr:uid="{FE6C909E-446C-425B-98B0-A6D694E6113A}">
      <text>
        <r>
          <rPr>
            <b/>
            <sz val="9"/>
            <color indexed="81"/>
            <rFont val="Tahoma"/>
            <charset val="1"/>
          </rPr>
          <t>USER PC:</t>
        </r>
        <r>
          <rPr>
            <sz val="9"/>
            <color indexed="81"/>
            <rFont val="Tahoma"/>
            <charset val="1"/>
          </rPr>
          <t xml:space="preserve">
Doubt - is it RA because it's RDD?</t>
        </r>
      </text>
    </comment>
    <comment ref="A6" authorId="0" shapeId="0" xr:uid="{B784022A-8664-4692-A0C0-3B9E4EBB0426}">
      <text>
        <r>
          <rPr>
            <b/>
            <sz val="9"/>
            <color indexed="81"/>
            <rFont val="Tahoma"/>
            <charset val="1"/>
          </rPr>
          <t>USER PC:</t>
        </r>
        <r>
          <rPr>
            <sz val="9"/>
            <color indexed="81"/>
            <rFont val="Tahoma"/>
            <charset val="1"/>
          </rPr>
          <t xml:space="preserve">
Looks like analyzed all question sin the survey</t>
        </r>
      </text>
    </comment>
    <comment ref="K6" authorId="0" shapeId="0" xr:uid="{86D73E15-E59C-4E31-9F02-73D5BFA40B7E}">
      <text>
        <r>
          <rPr>
            <b/>
            <sz val="9"/>
            <color indexed="81"/>
            <rFont val="Tahoma"/>
            <charset val="1"/>
          </rPr>
          <t>USER PC:</t>
        </r>
        <r>
          <rPr>
            <sz val="9"/>
            <color indexed="81"/>
            <rFont val="Tahoma"/>
            <charset val="1"/>
          </rPr>
          <t xml:space="preserve">
I's randomly assigned R's</t>
        </r>
      </text>
    </comment>
    <comment ref="AU6" authorId="0" shapeId="0" xr:uid="{6E1EDF0A-79F3-4F88-BBF8-77A4D756720C}">
      <text>
        <r>
          <rPr>
            <b/>
            <sz val="9"/>
            <color indexed="81"/>
            <rFont val="Tahoma"/>
            <charset val="1"/>
          </rPr>
          <t>USER PC:</t>
        </r>
        <r>
          <rPr>
            <sz val="9"/>
            <color indexed="81"/>
            <rFont val="Tahoma"/>
            <charset val="1"/>
          </rPr>
          <t xml:space="preserve">
another paper not citing SC!</t>
        </r>
      </text>
    </comment>
    <comment ref="K7" authorId="0" shapeId="0" xr:uid="{50C5EA1A-7206-4620-8986-05B6E5C80559}">
      <text>
        <r>
          <rPr>
            <b/>
            <sz val="9"/>
            <color indexed="81"/>
            <rFont val="Tahoma"/>
            <charset val="1"/>
          </rPr>
          <t>USER PC:</t>
        </r>
        <r>
          <rPr>
            <sz val="9"/>
            <color indexed="81"/>
            <rFont val="Tahoma"/>
            <charset val="1"/>
          </rPr>
          <t xml:space="preserve">
random assignment of interviewers to Rs</t>
        </r>
      </text>
    </comment>
    <comment ref="A8" authorId="0" shapeId="0" xr:uid="{175CC5E0-25B0-420E-A88B-90A946D45368}">
      <text>
        <r>
          <rPr>
            <b/>
            <sz val="9"/>
            <color indexed="81"/>
            <rFont val="Tahoma"/>
            <charset val="1"/>
          </rPr>
          <t>USER PC:</t>
        </r>
        <r>
          <rPr>
            <sz val="9"/>
            <color indexed="81"/>
            <rFont val="Tahoma"/>
            <charset val="1"/>
          </rPr>
          <t xml:space="preserve">
This paper also reports a PROI table.</t>
        </r>
      </text>
    </comment>
    <comment ref="K8" authorId="0" shapeId="0" xr:uid="{B9C5E389-7D76-401B-AEE9-4BC3D16E7D01}">
      <text>
        <r>
          <rPr>
            <b/>
            <sz val="9"/>
            <color indexed="81"/>
            <rFont val="Tahoma"/>
            <charset val="1"/>
          </rPr>
          <t>USER PC:</t>
        </r>
        <r>
          <rPr>
            <sz val="9"/>
            <color indexed="81"/>
            <rFont val="Tahoma"/>
            <charset val="1"/>
          </rPr>
          <t xml:space="preserve">
same</t>
        </r>
      </text>
    </comment>
    <comment ref="K9" authorId="0" shapeId="0" xr:uid="{8924D146-7573-4906-B185-B2B14AAD2B36}">
      <text>
        <r>
          <rPr>
            <b/>
            <sz val="9"/>
            <color indexed="81"/>
            <rFont val="Tahoma"/>
            <charset val="1"/>
          </rPr>
          <t>USER PC:</t>
        </r>
        <r>
          <rPr>
            <sz val="9"/>
            <color indexed="81"/>
            <rFont val="Tahoma"/>
            <charset val="1"/>
          </rPr>
          <t xml:space="preserve">
RDD argument</t>
        </r>
      </text>
    </comment>
    <comment ref="K10" authorId="0" shapeId="0" xr:uid="{9A88B53F-347F-4A42-B158-A7B8BF1ABCBF}">
      <text>
        <r>
          <rPr>
            <b/>
            <sz val="9"/>
            <color indexed="81"/>
            <rFont val="Tahoma"/>
            <charset val="1"/>
          </rPr>
          <t>USER PC:</t>
        </r>
        <r>
          <rPr>
            <sz val="9"/>
            <color indexed="81"/>
            <rFont val="Tahoma"/>
            <charset val="1"/>
          </rPr>
          <t xml:space="preserve">
same RDD</t>
        </r>
      </text>
    </comment>
    <comment ref="K11" authorId="0" shapeId="0" xr:uid="{65A22C5A-6E6A-4809-AFF1-E92BA35A2056}">
      <text>
        <r>
          <rPr>
            <b/>
            <sz val="9"/>
            <color indexed="81"/>
            <rFont val="Tahoma"/>
            <charset val="1"/>
          </rPr>
          <t>USER PC:</t>
        </r>
        <r>
          <rPr>
            <sz val="9"/>
            <color indexed="81"/>
            <rFont val="Tahoma"/>
            <charset val="1"/>
          </rPr>
          <t xml:space="preserve">
Ask Stanley; page 524</t>
        </r>
      </text>
    </comment>
    <comment ref="G14" authorId="0" shapeId="0" xr:uid="{80F88896-22AB-4902-92EF-0298472FABDF}">
      <text>
        <r>
          <rPr>
            <b/>
            <sz val="9"/>
            <color indexed="81"/>
            <rFont val="Tahoma"/>
            <charset val="1"/>
          </rPr>
          <t>USER PC:</t>
        </r>
        <r>
          <rPr>
            <sz val="9"/>
            <color indexed="81"/>
            <rFont val="Tahoma"/>
            <charset val="1"/>
          </rPr>
          <t xml:space="preserve">
sincce the authors are affiliated to Ugeorgia and the survey was doen under direct supervision, we assume that the study was based in Georgia.
</t>
        </r>
      </text>
    </comment>
    <comment ref="K15" authorId="0" shapeId="0" xr:uid="{288F0A77-5BE3-4B1C-A36D-DA7C01618FE8}">
      <text>
        <r>
          <rPr>
            <b/>
            <sz val="9"/>
            <color indexed="81"/>
            <rFont val="Tahoma"/>
            <charset val="1"/>
          </rPr>
          <t>USER PC:</t>
        </r>
        <r>
          <rPr>
            <sz val="9"/>
            <color indexed="81"/>
            <rFont val="Tahoma"/>
            <charset val="1"/>
          </rPr>
          <t xml:space="preserve">
Ask Stanley - I don't have the book anymore</t>
        </r>
      </text>
    </comment>
    <comment ref="A23" authorId="0" shapeId="0" xr:uid="{0B9D65B9-7C25-44E4-88EA-46B1E35E60FD}">
      <text>
        <r>
          <rPr>
            <b/>
            <sz val="9"/>
            <color indexed="81"/>
            <rFont val="Tahoma"/>
            <charset val="1"/>
          </rPr>
          <t>USER PC:</t>
        </r>
        <r>
          <rPr>
            <sz val="9"/>
            <color indexed="81"/>
            <rFont val="Tahoma"/>
            <charset val="1"/>
          </rPr>
          <t xml:space="preserve">
Resullts for Anglos are not reported in table 2. But from the text it can be concluded that 2 ethnic item showed effect among them. Combining that with table 1, we have 6 out of 13 qs significant.</t>
        </r>
      </text>
    </comment>
    <comment ref="K23" authorId="0" shapeId="0" xr:uid="{E9B8298B-2043-4FD1-8F6C-7DC306FFB954}">
      <text>
        <r>
          <rPr>
            <b/>
            <sz val="9"/>
            <color indexed="81"/>
            <rFont val="Tahoma"/>
            <charset val="1"/>
          </rPr>
          <t>USER PC:</t>
        </r>
        <r>
          <rPr>
            <sz val="9"/>
            <color indexed="81"/>
            <rFont val="Tahoma"/>
            <charset val="1"/>
          </rPr>
          <t xml:space="preserve">
Respondent random assignment</t>
        </r>
      </text>
    </comment>
    <comment ref="A25" authorId="0" shapeId="0" xr:uid="{7AE6F7D8-016E-4717-8F15-4A65C0BEBC92}">
      <text>
        <r>
          <rPr>
            <b/>
            <sz val="9"/>
            <color indexed="81"/>
            <rFont val="Tahoma"/>
            <charset val="1"/>
          </rPr>
          <t>USER PC:</t>
        </r>
        <r>
          <rPr>
            <sz val="9"/>
            <color indexed="81"/>
            <rFont val="Tahoma"/>
            <charset val="1"/>
          </rPr>
          <t xml:space="preserve">
acknowledges racial matching of interviewers and respondents in GSS data.</t>
        </r>
      </text>
    </comment>
    <comment ref="AU28" authorId="0" shapeId="0" xr:uid="{85FB8187-56BE-4CD1-AAE4-E2EC60C72151}">
      <text>
        <r>
          <rPr>
            <b/>
            <sz val="9"/>
            <color indexed="81"/>
            <rFont val="Tahoma"/>
            <charset val="1"/>
          </rPr>
          <t>USER PC:</t>
        </r>
        <r>
          <rPr>
            <sz val="9"/>
            <color indexed="81"/>
            <rFont val="Tahoma"/>
            <charset val="1"/>
          </rPr>
          <t xml:space="preserve">
did not cite schuman and converse!</t>
        </r>
      </text>
    </comment>
    <comment ref="A29" authorId="0" shapeId="0" xr:uid="{EBDA67EA-5D82-4139-B10D-57602B8C6F38}">
      <text>
        <r>
          <rPr>
            <b/>
            <sz val="9"/>
            <color indexed="81"/>
            <rFont val="Tahoma"/>
            <charset val="1"/>
          </rPr>
          <t>USER PC:</t>
        </r>
        <r>
          <rPr>
            <sz val="9"/>
            <color indexed="81"/>
            <rFont val="Tahoma"/>
            <charset val="1"/>
          </rPr>
          <t xml:space="preserve">
Graphs are showing effects for Hispanics, not sure what happens to others. No table reported.</t>
        </r>
      </text>
    </comment>
    <comment ref="AU29" authorId="0" shapeId="0" xr:uid="{E8FDFDE1-0F0F-4E54-9C08-7C091F0A98E8}">
      <text>
        <r>
          <rPr>
            <b/>
            <sz val="9"/>
            <color indexed="81"/>
            <rFont val="Tahoma"/>
            <charset val="1"/>
          </rPr>
          <t>USER PC:</t>
        </r>
        <r>
          <rPr>
            <sz val="9"/>
            <color indexed="81"/>
            <rFont val="Tahoma"/>
            <charset val="1"/>
          </rPr>
          <t xml:space="preserve">
since this book is more on cooeration rates and response rates, most of the citations are specific to those, and also specific to NSDUH and previous RTI reports.</t>
        </r>
      </text>
    </comment>
    <comment ref="K30" authorId="0" shapeId="0" xr:uid="{66FF2B71-132E-43CF-865B-1CFF451CC9BA}">
      <text>
        <r>
          <rPr>
            <b/>
            <sz val="9"/>
            <color indexed="81"/>
            <rFont val="Tahoma"/>
            <charset val="1"/>
          </rPr>
          <t>USER PC:</t>
        </r>
        <r>
          <rPr>
            <sz val="9"/>
            <color indexed="81"/>
            <rFont val="Tahoma"/>
            <charset val="1"/>
          </rPr>
          <t xml:space="preserve">
Discuss with Stanley</t>
        </r>
      </text>
    </comment>
    <comment ref="A31" authorId="0" shapeId="0" xr:uid="{FF58B779-1210-4846-B7B4-4803D689244C}">
      <text>
        <r>
          <rPr>
            <b/>
            <sz val="9"/>
            <color indexed="81"/>
            <rFont val="Tahoma"/>
            <charset val="1"/>
          </rPr>
          <t>USER PC:</t>
        </r>
        <r>
          <rPr>
            <sz val="9"/>
            <color indexed="81"/>
            <rFont val="Tahoma"/>
            <charset val="1"/>
          </rPr>
          <t xml:space="preserve">
AROI</t>
        </r>
      </text>
    </comment>
    <comment ref="K31" authorId="0" shapeId="0" xr:uid="{2AA95655-869A-4BF6-86FD-EBBF775C9AF0}">
      <text>
        <r>
          <rPr>
            <b/>
            <sz val="9"/>
            <color indexed="81"/>
            <rFont val="Tahoma"/>
            <charset val="1"/>
          </rPr>
          <t>USER PC:</t>
        </r>
        <r>
          <rPr>
            <sz val="9"/>
            <color indexed="81"/>
            <rFont val="Tahoma"/>
            <charset val="1"/>
          </rPr>
          <t xml:space="preserve">
RDD - random respondent assignment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 PC</author>
    <author>Ujjayini Das</author>
  </authors>
  <commentList>
    <comment ref="A1" authorId="0" shapeId="0" xr:uid="{CC4A7673-0B25-49A2-9DA3-7F9FE688FBBB}">
      <text>
        <r>
          <rPr>
            <b/>
            <sz val="9"/>
            <color indexed="81"/>
            <rFont val="Tahoma"/>
            <charset val="1"/>
          </rPr>
          <t>USER PC:</t>
        </r>
        <r>
          <rPr>
            <sz val="9"/>
            <color indexed="81"/>
            <rFont val="Tahoma"/>
            <charset val="1"/>
          </rPr>
          <t xml:space="preserve">
For all columns of outcome, NA refers to cases where particular racial groups were not analyzed. NR refers to papers that did not do a specific type of analysis like bivariate or multivariate.</t>
        </r>
      </text>
    </comment>
    <comment ref="I1" authorId="1" shapeId="0" xr:uid="{6B9B25B8-060B-4547-B0D1-CC0525589BB0}">
      <text>
        <r>
          <rPr>
            <b/>
            <sz val="9"/>
            <color indexed="81"/>
            <rFont val="Tahoma"/>
            <family val="2"/>
          </rPr>
          <t>Ujjayini Das:</t>
        </r>
        <r>
          <rPr>
            <sz val="9"/>
            <color indexed="81"/>
            <rFont val="Tahoma"/>
            <family val="2"/>
          </rPr>
          <t xml:space="preserve">
After confirming with Stanley, add the new rows for the selected papers from tab 2 and 3</t>
        </r>
      </text>
    </comment>
    <comment ref="A4" authorId="0" shapeId="0" xr:uid="{97184271-FD44-4A34-8092-873C250B3C53}">
      <text>
        <r>
          <rPr>
            <b/>
            <sz val="9"/>
            <color indexed="81"/>
            <rFont val="Tahoma"/>
            <charset val="1"/>
          </rPr>
          <t>USER PC:</t>
        </r>
        <r>
          <rPr>
            <sz val="9"/>
            <color indexed="81"/>
            <rFont val="Tahoma"/>
            <charset val="1"/>
          </rPr>
          <t xml:space="preserve">
only multivariate done
Analaysed all questions in survey but reported results for the significant ones</t>
        </r>
      </text>
    </comment>
    <comment ref="K4" authorId="0" shapeId="0" xr:uid="{D77CB57C-5473-43A2-8A90-4FE22963D70A}">
      <text>
        <r>
          <rPr>
            <b/>
            <sz val="9"/>
            <color indexed="81"/>
            <rFont val="Tahoma"/>
            <charset val="1"/>
          </rPr>
          <t>USER PC:</t>
        </r>
        <r>
          <rPr>
            <sz val="9"/>
            <color indexed="81"/>
            <rFont val="Tahoma"/>
            <charset val="1"/>
          </rPr>
          <t xml:space="preserve">
CATI - random assignment of I's to R's</t>
        </r>
      </text>
    </comment>
    <comment ref="AN4" authorId="0" shapeId="0" xr:uid="{A9B14040-E0A0-4C50-96C1-8D4BA7D52D77}">
      <text>
        <r>
          <rPr>
            <b/>
            <sz val="9"/>
            <color indexed="81"/>
            <rFont val="Tahoma"/>
            <charset val="1"/>
          </rPr>
          <t>USER PC:</t>
        </r>
        <r>
          <rPr>
            <sz val="9"/>
            <color indexed="81"/>
            <rFont val="Tahoma"/>
            <charset val="1"/>
          </rPr>
          <t xml:space="preserve">
They listed all questions used in the analysis but the results are reported and discussed only for the ones that either showed ROI effect or were thought important by the authors</t>
        </r>
      </text>
    </comment>
    <comment ref="K5" authorId="0" shapeId="0" xr:uid="{6383C79D-CFA9-4BB6-8CCA-06BB6D6A325B}">
      <text>
        <r>
          <rPr>
            <b/>
            <sz val="9"/>
            <color indexed="81"/>
            <rFont val="Tahoma"/>
            <charset val="1"/>
          </rPr>
          <t>USER PC:</t>
        </r>
        <r>
          <rPr>
            <sz val="9"/>
            <color indexed="81"/>
            <rFont val="Tahoma"/>
            <charset val="1"/>
          </rPr>
          <t xml:space="preserve">
Doubt - is it RA because it's RDD?</t>
        </r>
      </text>
    </comment>
    <comment ref="A6" authorId="0" shapeId="0" xr:uid="{EAF5FD9B-AD20-4554-8AD0-D160962EEC5A}">
      <text>
        <r>
          <rPr>
            <b/>
            <sz val="9"/>
            <color indexed="81"/>
            <rFont val="Tahoma"/>
            <charset val="1"/>
          </rPr>
          <t>USER PC:</t>
        </r>
        <r>
          <rPr>
            <sz val="9"/>
            <color indexed="81"/>
            <rFont val="Tahoma"/>
            <charset val="1"/>
          </rPr>
          <t xml:space="preserve">
Looks like analyzed all question sin the survey</t>
        </r>
      </text>
    </comment>
    <comment ref="K6" authorId="0" shapeId="0" xr:uid="{602DC110-34A0-4EED-99C0-6ED40B2987A7}">
      <text>
        <r>
          <rPr>
            <b/>
            <sz val="9"/>
            <color indexed="81"/>
            <rFont val="Tahoma"/>
            <charset val="1"/>
          </rPr>
          <t>USER PC:</t>
        </r>
        <r>
          <rPr>
            <sz val="9"/>
            <color indexed="81"/>
            <rFont val="Tahoma"/>
            <charset val="1"/>
          </rPr>
          <t xml:space="preserve">
I's randomly assigned R's</t>
        </r>
      </text>
    </comment>
    <comment ref="AT6" authorId="0" shapeId="0" xr:uid="{F6E2D55D-025A-4DB1-8CF1-14B6703F1631}">
      <text>
        <r>
          <rPr>
            <b/>
            <sz val="9"/>
            <color indexed="81"/>
            <rFont val="Tahoma"/>
            <charset val="1"/>
          </rPr>
          <t>USER PC:</t>
        </r>
        <r>
          <rPr>
            <sz val="9"/>
            <color indexed="81"/>
            <rFont val="Tahoma"/>
            <charset val="1"/>
          </rPr>
          <t xml:space="preserve">
another paper not citing SC!</t>
        </r>
      </text>
    </comment>
    <comment ref="K7" authorId="0" shapeId="0" xr:uid="{4047B368-D0BD-481F-8823-294CCE2DFDC7}">
      <text>
        <r>
          <rPr>
            <b/>
            <sz val="9"/>
            <color indexed="81"/>
            <rFont val="Tahoma"/>
            <charset val="1"/>
          </rPr>
          <t>USER PC:</t>
        </r>
        <r>
          <rPr>
            <sz val="9"/>
            <color indexed="81"/>
            <rFont val="Tahoma"/>
            <charset val="1"/>
          </rPr>
          <t xml:space="preserve">
random assignment of interviewers to Rs</t>
        </r>
      </text>
    </comment>
    <comment ref="A8" authorId="0" shapeId="0" xr:uid="{6E5ACF3B-87EB-45F1-9B79-8E4A5269AC1B}">
      <text>
        <r>
          <rPr>
            <b/>
            <sz val="9"/>
            <color indexed="81"/>
            <rFont val="Tahoma"/>
            <charset val="1"/>
          </rPr>
          <t>USER PC:</t>
        </r>
        <r>
          <rPr>
            <sz val="9"/>
            <color indexed="81"/>
            <rFont val="Tahoma"/>
            <charset val="1"/>
          </rPr>
          <t xml:space="preserve">
This paper also reports a PROI table.</t>
        </r>
      </text>
    </comment>
    <comment ref="K8" authorId="0" shapeId="0" xr:uid="{BA3E68C2-0387-4E30-9018-D3A89DEA67F3}">
      <text>
        <r>
          <rPr>
            <b/>
            <sz val="9"/>
            <color indexed="81"/>
            <rFont val="Tahoma"/>
            <charset val="1"/>
          </rPr>
          <t>USER PC:</t>
        </r>
        <r>
          <rPr>
            <sz val="9"/>
            <color indexed="81"/>
            <rFont val="Tahoma"/>
            <charset val="1"/>
          </rPr>
          <t xml:space="preserve">
same</t>
        </r>
      </text>
    </comment>
    <comment ref="K9" authorId="0" shapeId="0" xr:uid="{7DB49A80-A913-4F01-A020-34CF20E88BE5}">
      <text>
        <r>
          <rPr>
            <b/>
            <sz val="9"/>
            <color indexed="81"/>
            <rFont val="Tahoma"/>
            <charset val="1"/>
          </rPr>
          <t>USER PC:</t>
        </r>
        <r>
          <rPr>
            <sz val="9"/>
            <color indexed="81"/>
            <rFont val="Tahoma"/>
            <charset val="1"/>
          </rPr>
          <t xml:space="preserve">
RDD argument</t>
        </r>
      </text>
    </comment>
    <comment ref="K10" authorId="0" shapeId="0" xr:uid="{44594D79-24FE-49E3-993C-6BF7F54DD3E8}">
      <text>
        <r>
          <rPr>
            <b/>
            <sz val="9"/>
            <color indexed="81"/>
            <rFont val="Tahoma"/>
            <charset val="1"/>
          </rPr>
          <t>USER PC:</t>
        </r>
        <r>
          <rPr>
            <sz val="9"/>
            <color indexed="81"/>
            <rFont val="Tahoma"/>
            <charset val="1"/>
          </rPr>
          <t xml:space="preserve">
same RDD</t>
        </r>
      </text>
    </comment>
    <comment ref="K11" authorId="0" shapeId="0" xr:uid="{6EA5BF3F-9E5D-47B7-BB9C-CAC0D5824602}">
      <text>
        <r>
          <rPr>
            <b/>
            <sz val="9"/>
            <color indexed="81"/>
            <rFont val="Tahoma"/>
            <charset val="1"/>
          </rPr>
          <t>USER PC:</t>
        </r>
        <r>
          <rPr>
            <sz val="9"/>
            <color indexed="81"/>
            <rFont val="Tahoma"/>
            <charset val="1"/>
          </rPr>
          <t xml:space="preserve">
Ask Stanley; page 524</t>
        </r>
      </text>
    </comment>
    <comment ref="G14" authorId="0" shapeId="0" xr:uid="{A4EDA5AC-38F8-423A-BEDE-E280E9D6D4E0}">
      <text>
        <r>
          <rPr>
            <b/>
            <sz val="9"/>
            <color indexed="81"/>
            <rFont val="Tahoma"/>
            <charset val="1"/>
          </rPr>
          <t>USER PC:</t>
        </r>
        <r>
          <rPr>
            <sz val="9"/>
            <color indexed="81"/>
            <rFont val="Tahoma"/>
            <charset val="1"/>
          </rPr>
          <t xml:space="preserve">
sincce the authors are affiliated to Ugeorgia and the survey was doen under direct supervision, we assume that the study was based in Georgia.
</t>
        </r>
      </text>
    </comment>
    <comment ref="K15" authorId="0" shapeId="0" xr:uid="{85AD6334-DE22-4729-A9D1-A46E18669A94}">
      <text>
        <r>
          <rPr>
            <b/>
            <sz val="9"/>
            <color indexed="81"/>
            <rFont val="Tahoma"/>
            <charset val="1"/>
          </rPr>
          <t>USER PC:</t>
        </r>
        <r>
          <rPr>
            <sz val="9"/>
            <color indexed="81"/>
            <rFont val="Tahoma"/>
            <charset val="1"/>
          </rPr>
          <t xml:space="preserve">
Ask Stanley - I don't have the book anymore</t>
        </r>
      </text>
    </comment>
    <comment ref="A23" authorId="0" shapeId="0" xr:uid="{4D73C8E9-29AF-4D0D-8923-E36E99B7C165}">
      <text>
        <r>
          <rPr>
            <b/>
            <sz val="9"/>
            <color indexed="81"/>
            <rFont val="Tahoma"/>
            <charset val="1"/>
          </rPr>
          <t>USER PC:</t>
        </r>
        <r>
          <rPr>
            <sz val="9"/>
            <color indexed="81"/>
            <rFont val="Tahoma"/>
            <charset val="1"/>
          </rPr>
          <t xml:space="preserve">
Resullts for Anglos are not reported in table 2. But from the text it can be concluded that 2 ethnic item showed effect among them. Combining that with table 1, we have 6 out of 13 qs significant.</t>
        </r>
      </text>
    </comment>
    <comment ref="K23" authorId="0" shapeId="0" xr:uid="{C977DC1A-58B1-4817-B82A-61F93AAEB32C}">
      <text>
        <r>
          <rPr>
            <b/>
            <sz val="9"/>
            <color indexed="81"/>
            <rFont val="Tahoma"/>
            <charset val="1"/>
          </rPr>
          <t>USER PC:</t>
        </r>
        <r>
          <rPr>
            <sz val="9"/>
            <color indexed="81"/>
            <rFont val="Tahoma"/>
            <charset val="1"/>
          </rPr>
          <t xml:space="preserve">
Respondent random assignment</t>
        </r>
      </text>
    </comment>
    <comment ref="A25" authorId="0" shapeId="0" xr:uid="{8B569999-F204-45F4-9F2C-7C0D26B6D9E7}">
      <text>
        <r>
          <rPr>
            <b/>
            <sz val="9"/>
            <color indexed="81"/>
            <rFont val="Tahoma"/>
            <charset val="1"/>
          </rPr>
          <t>USER PC:</t>
        </r>
        <r>
          <rPr>
            <sz val="9"/>
            <color indexed="81"/>
            <rFont val="Tahoma"/>
            <charset val="1"/>
          </rPr>
          <t xml:space="preserve">
acknowledges racial matching of interviewers and respondents in GSS data.</t>
        </r>
      </text>
    </comment>
    <comment ref="AT28" authorId="0" shapeId="0" xr:uid="{70039F66-690D-4569-AABE-6DB6E941D1C7}">
      <text>
        <r>
          <rPr>
            <b/>
            <sz val="9"/>
            <color indexed="81"/>
            <rFont val="Tahoma"/>
            <charset val="1"/>
          </rPr>
          <t>USER PC:</t>
        </r>
        <r>
          <rPr>
            <sz val="9"/>
            <color indexed="81"/>
            <rFont val="Tahoma"/>
            <charset val="1"/>
          </rPr>
          <t xml:space="preserve">
did not cite schuman and converse!</t>
        </r>
      </text>
    </comment>
    <comment ref="A29" authorId="0" shapeId="0" xr:uid="{F1BFDCFE-DAFA-4C8B-8321-015A2E80FCCD}">
      <text>
        <r>
          <rPr>
            <b/>
            <sz val="9"/>
            <color indexed="81"/>
            <rFont val="Tahoma"/>
            <charset val="1"/>
          </rPr>
          <t>USER PC:</t>
        </r>
        <r>
          <rPr>
            <sz val="9"/>
            <color indexed="81"/>
            <rFont val="Tahoma"/>
            <charset val="1"/>
          </rPr>
          <t xml:space="preserve">
Graphs are showing effects for Hispanics, not sure what happens to others. No table reported.</t>
        </r>
      </text>
    </comment>
    <comment ref="AT29" authorId="0" shapeId="0" xr:uid="{FE50FF71-B62C-45C1-837F-C998421A119D}">
      <text>
        <r>
          <rPr>
            <b/>
            <sz val="9"/>
            <color indexed="81"/>
            <rFont val="Tahoma"/>
            <charset val="1"/>
          </rPr>
          <t>USER PC:</t>
        </r>
        <r>
          <rPr>
            <sz val="9"/>
            <color indexed="81"/>
            <rFont val="Tahoma"/>
            <charset val="1"/>
          </rPr>
          <t xml:space="preserve">
since this book is more on cooeration rates and response rates, most of the citations are specific to those, and also specific to NSDUH and previous RTI reports.</t>
        </r>
      </text>
    </comment>
    <comment ref="K30" authorId="0" shapeId="0" xr:uid="{BCC01C25-EB0B-438B-AB71-E17917EE85EC}">
      <text>
        <r>
          <rPr>
            <b/>
            <sz val="9"/>
            <color indexed="81"/>
            <rFont val="Tahoma"/>
            <charset val="1"/>
          </rPr>
          <t>USER PC:</t>
        </r>
        <r>
          <rPr>
            <sz val="9"/>
            <color indexed="81"/>
            <rFont val="Tahoma"/>
            <charset val="1"/>
          </rPr>
          <t xml:space="preserve">
Discuss with Stanley</t>
        </r>
      </text>
    </comment>
    <comment ref="A31" authorId="0" shapeId="0" xr:uid="{F6A5C30B-1568-40CA-9A32-A22E533C0F34}">
      <text>
        <r>
          <rPr>
            <b/>
            <sz val="9"/>
            <color indexed="81"/>
            <rFont val="Tahoma"/>
            <charset val="1"/>
          </rPr>
          <t>USER PC:</t>
        </r>
        <r>
          <rPr>
            <sz val="9"/>
            <color indexed="81"/>
            <rFont val="Tahoma"/>
            <charset val="1"/>
          </rPr>
          <t xml:space="preserve">
AROI</t>
        </r>
      </text>
    </comment>
    <comment ref="K31" authorId="0" shapeId="0" xr:uid="{EBD3723E-A927-4409-AEAD-47DF0CC1779F}">
      <text>
        <r>
          <rPr>
            <b/>
            <sz val="9"/>
            <color indexed="81"/>
            <rFont val="Tahoma"/>
            <charset val="1"/>
          </rPr>
          <t>USER PC:</t>
        </r>
        <r>
          <rPr>
            <sz val="9"/>
            <color indexed="81"/>
            <rFont val="Tahoma"/>
            <charset val="1"/>
          </rPr>
          <t xml:space="preserve">
RDD - random respondent assignment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 PC</author>
  </authors>
  <commentList>
    <comment ref="A1" authorId="0" shapeId="0" xr:uid="{E7D95DEC-8110-4562-B36E-D77CD0937F08}">
      <text>
        <r>
          <rPr>
            <b/>
            <sz val="9"/>
            <color indexed="81"/>
            <rFont val="Tahoma"/>
            <charset val="1"/>
          </rPr>
          <t>USER PC:</t>
        </r>
        <r>
          <rPr>
            <sz val="9"/>
            <color indexed="81"/>
            <rFont val="Tahoma"/>
            <charset val="1"/>
          </rPr>
          <t xml:space="preserve">
Assuming most of the non african american respondents to be white</t>
        </r>
      </text>
    </comment>
    <comment ref="K13" authorId="0" shapeId="0" xr:uid="{2037B900-026B-47D5-95A2-9D3BD70377EC}">
      <text>
        <r>
          <rPr>
            <b/>
            <sz val="9"/>
            <color indexed="81"/>
            <rFont val="Tahoma"/>
            <charset val="1"/>
          </rPr>
          <t>USER PC:</t>
        </r>
        <r>
          <rPr>
            <sz val="9"/>
            <color indexed="81"/>
            <rFont val="Tahoma"/>
            <charset val="1"/>
          </rPr>
          <t xml:space="preserve">
Assuming most of the non african american respondents to be white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1806D0-523E-4563-B598-4B496CB852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ECC187-62C5-4352-9E04-EE92E3E8C73B}" name="WorksheetConnection_Bivariate results!$A$1:$BH$32" type="102" refreshedVersion="8" minRefreshableVersion="5">
    <extLst>
      <ext xmlns:x15="http://schemas.microsoft.com/office/spreadsheetml/2010/11/main" uri="{DE250136-89BD-433C-8126-D09CA5730AF9}">
        <x15:connection id="Range" autoDelete="1">
          <x15:rangePr sourceName="_xlcn.WorksheetConnection_BivariateresultsA1BH3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Range].[Multivariate Done].[All]}"/>
    <s v="{[Range].[ROR].[All]}"/>
    <s v="{[Range].[Bivariate done].&amp;[Y]}"/>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<sst xmlns="http://schemas.openxmlformats.org/spreadsheetml/2006/main" count="1942" uniqueCount="318">
  <si>
    <t>Author(s)</t>
  </si>
  <si>
    <t>Pub Year</t>
  </si>
  <si>
    <t>Hyman</t>
  </si>
  <si>
    <t>Price and Searles</t>
  </si>
  <si>
    <t>Williams</t>
  </si>
  <si>
    <t>Schuman and Converse</t>
  </si>
  <si>
    <t>Welch, Comer, and Steinman</t>
  </si>
  <si>
    <t>Hatchett and Schuman</t>
  </si>
  <si>
    <t>Shosteck</t>
  </si>
  <si>
    <t>Hutcheson, Prather, and Snow</t>
  </si>
  <si>
    <t>Schaeffer</t>
  </si>
  <si>
    <t>Cotter, Cohen, and Coulter</t>
  </si>
  <si>
    <t>Reese, Danielson, Shoemaker, Chang, and Hsu</t>
  </si>
  <si>
    <t>Anderson, Silver, and Abramson (attitudes)</t>
  </si>
  <si>
    <t>Anderson, Silver, and Abramson (voting)</t>
  </si>
  <si>
    <t>Keeter</t>
  </si>
  <si>
    <t>Finkel, Guterbock, and Borg</t>
  </si>
  <si>
    <t>Davis (direction)</t>
  </si>
  <si>
    <t>Davis (nonrandom)</t>
  </si>
  <si>
    <t>Link and Oldendick</t>
  </si>
  <si>
    <t>Livert, Kadushin, Schulman, and Weiss</t>
  </si>
  <si>
    <t>Lind, Oldendick, Hall, Rose, and Shealy</t>
  </si>
  <si>
    <t>Wilson</t>
  </si>
  <si>
    <t>Davis and Silver</t>
  </si>
  <si>
    <t>Callegaro, Keulenaer, Krosnick, and Daves</t>
  </si>
  <si>
    <t>Huang</t>
  </si>
  <si>
    <t>Nienstadt</t>
  </si>
  <si>
    <t>Cody, Davis, and Wilson</t>
  </si>
  <si>
    <t>Gong and Aadland</t>
  </si>
  <si>
    <t>Belk, Huffmon, and Lawrence</t>
  </si>
  <si>
    <t>Wang et al.</t>
  </si>
  <si>
    <t>Wilson, Gonzales, and Davis</t>
  </si>
  <si>
    <t>Liu and Wang</t>
  </si>
  <si>
    <t>Savage</t>
  </si>
  <si>
    <t>DC Year Coding</t>
  </si>
  <si>
    <t>1942-1979</t>
  </si>
  <si>
    <t>NA</t>
  </si>
  <si>
    <t>ROR</t>
  </si>
  <si>
    <t>Black</t>
  </si>
  <si>
    <t>Mexican-American</t>
  </si>
  <si>
    <t>White</t>
  </si>
  <si>
    <t>Black and White</t>
  </si>
  <si>
    <t>Black, White and Hispanic</t>
  </si>
  <si>
    <t>White or Mixed and Blacks</t>
  </si>
  <si>
    <t>Non-Hispanic White, Non-Hispanic Black and Hispanic</t>
  </si>
  <si>
    <t>United States</t>
  </si>
  <si>
    <t>ROI</t>
  </si>
  <si>
    <t>Mexican-American and Anglo</t>
  </si>
  <si>
    <t>Hispanic and Anglo</t>
  </si>
  <si>
    <t>White and Non-white</t>
  </si>
  <si>
    <t>Y</t>
  </si>
  <si>
    <t>N</t>
  </si>
  <si>
    <t>Population</t>
  </si>
  <si>
    <t>Memphis</t>
  </si>
  <si>
    <t>North Carolina</t>
  </si>
  <si>
    <t>Detroit</t>
  </si>
  <si>
    <t>rural Nebraska</t>
  </si>
  <si>
    <t>Indianapolis</t>
  </si>
  <si>
    <t>large SMSA</t>
  </si>
  <si>
    <t>Alabama</t>
  </si>
  <si>
    <t>Texas</t>
  </si>
  <si>
    <t>Virginia</t>
  </si>
  <si>
    <t>southern state</t>
  </si>
  <si>
    <t>urban areas</t>
  </si>
  <si>
    <t>South Carolina</t>
  </si>
  <si>
    <t>Michigan</t>
  </si>
  <si>
    <t>Minneapolis</t>
  </si>
  <si>
    <t>11 states</t>
  </si>
  <si>
    <t>40 western US cities</t>
  </si>
  <si>
    <t>11 southern states</t>
  </si>
  <si>
    <t>telephone</t>
  </si>
  <si>
    <t>New Population Coding</t>
  </si>
  <si>
    <t>South</t>
  </si>
  <si>
    <t>Non-south</t>
  </si>
  <si>
    <t>US</t>
  </si>
  <si>
    <t>National?</t>
  </si>
  <si>
    <t>Mode</t>
  </si>
  <si>
    <t>F2F</t>
  </si>
  <si>
    <t>AROI/
PROI</t>
  </si>
  <si>
    <t>AROI</t>
  </si>
  <si>
    <t>Random Assignment</t>
  </si>
  <si>
    <t>Question Type</t>
  </si>
  <si>
    <t>Multivariate Done</t>
  </si>
  <si>
    <t>Bivariate done</t>
  </si>
  <si>
    <t># nonracial attitudes for Blacks</t>
  </si>
  <si>
    <t># nonracial facts for Blacks</t>
  </si>
  <si>
    <t># racial attitudes for Blacks</t>
  </si>
  <si>
    <t># racial facts for Blacks</t>
  </si>
  <si>
    <t># nonracial attitudes for Whites</t>
  </si>
  <si>
    <t># nonracial facts for Whites</t>
  </si>
  <si>
    <t># racial attitudes for Whites</t>
  </si>
  <si>
    <t># racial facts for Whites</t>
  </si>
  <si>
    <t># nonracial attitudes for Hispanics</t>
  </si>
  <si>
    <t># nonracial facts for Hispanics</t>
  </si>
  <si>
    <t># racial attitudes for Hispanics</t>
  </si>
  <si>
    <t># racial facts for Hispanics</t>
  </si>
  <si>
    <t>% sig nonracial attitudes for Blacks</t>
  </si>
  <si>
    <t>% sig nonracial facts for Blacks</t>
  </si>
  <si>
    <t>% sig racial attitudes for Blacks</t>
  </si>
  <si>
    <t>% sig racial facts for Blacks</t>
  </si>
  <si>
    <t>% sig nonracial attitudes for Whites</t>
  </si>
  <si>
    <t>% sig nonracial facts for Whites</t>
  </si>
  <si>
    <t>% sig racial attitudes for Whites</t>
  </si>
  <si>
    <t>% sig racial facts for Whites</t>
  </si>
  <si>
    <t>% sig nonracial attitudes for Hispanics</t>
  </si>
  <si>
    <t>% sig nonracial facts for Hispanics</t>
  </si>
  <si>
    <t>% sig racial attitudes for Hispanics</t>
  </si>
  <si>
    <t>%sig racial facts for Hispanics</t>
  </si>
  <si>
    <t>racial attitude, nonracial attitude, nonracial fact</t>
  </si>
  <si>
    <t>racial attitude, racial fact, nonracial attitude, nonracial fact</t>
  </si>
  <si>
    <t>nonracial attitude, nonracial fact</t>
  </si>
  <si>
    <t>racial attitude</t>
  </si>
  <si>
    <t>nonracial attitude</t>
  </si>
  <si>
    <t>nonracial attitude, racial attitude</t>
  </si>
  <si>
    <t>racial attitude, racial fact</t>
  </si>
  <si>
    <t>nonracial fact</t>
  </si>
  <si>
    <t>Holbrook et al.</t>
  </si>
  <si>
    <t>Chicago</t>
  </si>
  <si>
    <t>Proper Analysis</t>
  </si>
  <si>
    <t>analyzed subset of/full questionnaire</t>
  </si>
  <si>
    <t>uncertain</t>
  </si>
  <si>
    <t>entire survey</t>
  </si>
  <si>
    <t>subset</t>
  </si>
  <si>
    <t>reports response rates by I race</t>
  </si>
  <si>
    <t>#Is reported in particular race (&gt;=3)</t>
  </si>
  <si>
    <t>confounding of race and language</t>
  </si>
  <si>
    <t>pub year dichotomy</t>
  </si>
  <si>
    <t>before 1985</t>
  </si>
  <si>
    <t>1985 and after</t>
  </si>
  <si>
    <t>pub year trichotomy</t>
  </si>
  <si>
    <t>before 1980</t>
  </si>
  <si>
    <t>1980-2000</t>
  </si>
  <si>
    <t>2000-2016</t>
  </si>
  <si>
    <t>#papers cited</t>
  </si>
  <si>
    <t>#quality conditions met</t>
  </si>
  <si>
    <t>Multivariate Done for all items or not</t>
  </si>
  <si>
    <t>for 5 out of 8 racial qs</t>
  </si>
  <si>
    <t>All</t>
  </si>
  <si>
    <t>for 5 out of 10</t>
  </si>
  <si>
    <t>1 summed index</t>
  </si>
  <si>
    <t>5 out of 10</t>
  </si>
  <si>
    <t>Not reported</t>
  </si>
  <si>
    <t>only for 7 sig items in bivariate</t>
  </si>
  <si>
    <t>Included other I-level characteristics</t>
  </si>
  <si>
    <t>I gender</t>
  </si>
  <si>
    <t>I workload</t>
  </si>
  <si>
    <t>I gender, I age</t>
  </si>
  <si>
    <t>I experience</t>
  </si>
  <si>
    <t>I gender, I age, I experience, I education</t>
  </si>
  <si>
    <t>nonracial attitude, nonracial fact, racial attitude</t>
  </si>
  <si>
    <t xml:space="preserve">nonracial attitude, nonracial fact, racial attitude, racial fact </t>
  </si>
  <si>
    <t>Count of Author(s)</t>
  </si>
  <si>
    <t>Column Labels</t>
  </si>
  <si>
    <t>Grand Total</t>
  </si>
  <si>
    <t>Row Labels</t>
  </si>
  <si>
    <t>(All)</t>
  </si>
  <si>
    <t>(Multiple Items)</t>
  </si>
  <si>
    <t>Average of % sig nonracial attitudes for Blacks</t>
  </si>
  <si>
    <t>Values</t>
  </si>
  <si>
    <t>Average of % sig nonracial facts for Blacks</t>
  </si>
  <si>
    <t>Average of % sig racial attitudes for Blacks</t>
  </si>
  <si>
    <t>Average of % sig racial facts for Blacks</t>
  </si>
  <si>
    <t>Average of % sig nonracial attitudes for Whites</t>
  </si>
  <si>
    <t>Average of % sig nonracial facts for Whites</t>
  </si>
  <si>
    <t>Average of % sig racial attitudes for Whites</t>
  </si>
  <si>
    <t>Average of % sig racial facts for Whites</t>
  </si>
  <si>
    <t>Average of % sig nonracial attitudes for Hispanics</t>
  </si>
  <si>
    <t>Average of % sig nonracial facts for Hispanics</t>
  </si>
  <si>
    <t>Average of % sig racial attitudes for Hispanics</t>
  </si>
  <si>
    <t>Average of %sig racial facts for Hispanics</t>
  </si>
  <si>
    <t>White relative to Black</t>
  </si>
  <si>
    <t>DC year coding 11_3</t>
  </si>
  <si>
    <t>2000-2012</t>
  </si>
  <si>
    <t>1982-1999</t>
  </si>
  <si>
    <t>NR_att_q_num x prop sig for Blacks (OxS)</t>
  </si>
  <si>
    <t>NR_fact_q_num x prop sig for Blacks (PxT)</t>
  </si>
  <si>
    <t>R_att_q_num x prop sig for Blacks (QxU)</t>
  </si>
  <si>
    <t>R_fact_q_num x prop sig for Blacks (RxV)</t>
  </si>
  <si>
    <t>NR_att_q_num x prop sig for Whites (WxAA)</t>
  </si>
  <si>
    <t>NR_fact_q_num x prop sig for Whites (XxAB)</t>
  </si>
  <si>
    <t>R_att_q_num x prop sig for Whites (YxAC)</t>
  </si>
  <si>
    <t>R_fact_q_num x prop sig for Whites (ZxAD)</t>
  </si>
  <si>
    <t>NR_att_q_num x prop sig for Hispanics (AExAI)</t>
  </si>
  <si>
    <t>NR_fact_q_num x prop sig for Hispanics (AFxAJ)</t>
  </si>
  <si>
    <t>R_att_q_num x prop sig for Hispanics (AGxAK)</t>
  </si>
  <si>
    <t>R_fact_q_num x prop sig for Hispanics (AHxAL)</t>
  </si>
  <si>
    <t>Sum of NR_att_q_num x prop sig for Blacks (OxS)</t>
  </si>
  <si>
    <t>Sum of NR_fact_q_num x prop sig for Blacks (PxT)</t>
  </si>
  <si>
    <t>Sum of R_att_q_num x prop sig for Blacks (QxU)</t>
  </si>
  <si>
    <t>Sum of R_fact_q_num x prop sig for Blacks (RxV)</t>
  </si>
  <si>
    <t>Sum of NR_att_q_num x prop sig for Whites (WxAA)</t>
  </si>
  <si>
    <t>Sum of NR_fact_q_num x prop sig for Whites (XxAB)</t>
  </si>
  <si>
    <t>Sum of R_att_q_num x prop sig for Whites (YxAC)</t>
  </si>
  <si>
    <t>Sum of R_fact_q_num x prop sig for Whites (ZxAD)</t>
  </si>
  <si>
    <t>Sum of NR_att_q_num x prop sig for Hispanics (AExAI)</t>
  </si>
  <si>
    <t>Sum of NR_fact_q_num x prop sig for Hispanics (AFxAJ)</t>
  </si>
  <si>
    <t>Sum of R_att_q_num x prop sig for Hispanics (AGxAK)</t>
  </si>
  <si>
    <t>Sum of R_fact_q_num x prop sig for Hispanics (AHxAL)</t>
  </si>
  <si>
    <t>Sum of # nonracial attitudes for Blacks</t>
  </si>
  <si>
    <t>Sum of # nonracial facts for Blacks</t>
  </si>
  <si>
    <t>Sum of # racial attitudes for Blacks</t>
  </si>
  <si>
    <t>Sum of # racial facts for Blacks</t>
  </si>
  <si>
    <t>Sum of # nonracial attitudes for Whites</t>
  </si>
  <si>
    <t>Sum of # nonracial facts for Whites</t>
  </si>
  <si>
    <t>Sum of # racial attitudes for Whites</t>
  </si>
  <si>
    <t>Sum of # racial facts for Whites</t>
  </si>
  <si>
    <t>Sum of # nonracial attitudes for Hispanics</t>
  </si>
  <si>
    <t>Sum of # nonracial facts for Hispanics</t>
  </si>
  <si>
    <t>Sum of # racial attitudes for Hispanics</t>
  </si>
  <si>
    <t>Sum of # racial facts for Hispanics</t>
  </si>
  <si>
    <t>Schuman and Hatchett</t>
  </si>
  <si>
    <t>sm1</t>
  </si>
  <si>
    <t>sm2</t>
  </si>
  <si>
    <t>full_questionnaire_analyzed?</t>
  </si>
  <si>
    <t>total # questions</t>
  </si>
  <si>
    <t>total #sig questions</t>
  </si>
  <si>
    <t>total %sig item</t>
  </si>
  <si>
    <t>Average of total %sig item</t>
  </si>
  <si>
    <t>Blacks</t>
  </si>
  <si>
    <t>Whites</t>
  </si>
  <si>
    <t>Hispanics</t>
  </si>
  <si>
    <t>total%sig blacks</t>
  </si>
  <si>
    <t>total%sig whites</t>
  </si>
  <si>
    <t>total%sig hispanics</t>
  </si>
  <si>
    <t>Pasted from bivariate</t>
  </si>
  <si>
    <t>ROR_Black</t>
  </si>
  <si>
    <t>ROR_White</t>
  </si>
  <si>
    <t>ROR_Hispanic</t>
  </si>
  <si>
    <t>I age</t>
  </si>
  <si>
    <t>only checks bivariate relationships b/w other I characteristics and outcomes</t>
  </si>
  <si>
    <t>Which I characteristics included</t>
  </si>
  <si>
    <t xml:space="preserve">total #sig questions </t>
  </si>
  <si>
    <t>total %sig items</t>
  </si>
  <si>
    <t>1 index</t>
  </si>
  <si>
    <t>total #nonracial questions</t>
  </si>
  <si>
    <t>total #sig nonracial questions</t>
  </si>
  <si>
    <t>total #racial questions</t>
  </si>
  <si>
    <t>total #sig racial questions</t>
  </si>
  <si>
    <t>total %sig nonracial</t>
  </si>
  <si>
    <t>total %sig racial</t>
  </si>
  <si>
    <t>total # questions Black</t>
  </si>
  <si>
    <t>total #sig questions Black</t>
  </si>
  <si>
    <t>total # questions White</t>
  </si>
  <si>
    <t>total #sig questions White</t>
  </si>
  <si>
    <t>total %sig Black</t>
  </si>
  <si>
    <t>total %sig White</t>
  </si>
  <si>
    <t>% of items that are racial</t>
  </si>
  <si>
    <t>total #nonracial Black</t>
  </si>
  <si>
    <t>total #sig nonracial Black</t>
  </si>
  <si>
    <t>total #racial Black</t>
  </si>
  <si>
    <t>total #sig racial Black</t>
  </si>
  <si>
    <t>total #racial White</t>
  </si>
  <si>
    <t>total #sig racial White</t>
  </si>
  <si>
    <t>total # nonracial White</t>
  </si>
  <si>
    <t>total #sig nonracial White</t>
  </si>
  <si>
    <t>total #NR</t>
  </si>
  <si>
    <t>total #nonracial Hispanic</t>
  </si>
  <si>
    <t>total #sig nonracial Hispanic</t>
  </si>
  <si>
    <t>total #racial Hispanic</t>
  </si>
  <si>
    <t>total #sig racial Hispanic</t>
  </si>
  <si>
    <t>total #sig NR</t>
  </si>
  <si>
    <t>total #R</t>
  </si>
  <si>
    <t>total #sig R</t>
  </si>
  <si>
    <t>total #questions Black</t>
  </si>
  <si>
    <t>total #questions White</t>
  </si>
  <si>
    <t>total #questions Hispanic</t>
  </si>
  <si>
    <t>total #sig questions Hispanic</t>
  </si>
  <si>
    <t>total #attitude</t>
  </si>
  <si>
    <t>total #sig attitude</t>
  </si>
  <si>
    <t>total #fact</t>
  </si>
  <si>
    <t>total #sig fact</t>
  </si>
  <si>
    <t>total #attitude Blacks</t>
  </si>
  <si>
    <t>total #sig attitude Blacks</t>
  </si>
  <si>
    <t>total #fact Blacks</t>
  </si>
  <si>
    <t>total #sig fact Blacks</t>
  </si>
  <si>
    <t>total #attitude Whites</t>
  </si>
  <si>
    <t>total #sig attitude Whites</t>
  </si>
  <si>
    <t>total #fact Whites</t>
  </si>
  <si>
    <t>total #sig fact Whites</t>
  </si>
  <si>
    <t>total #attitude Hispanics</t>
  </si>
  <si>
    <t>total #sig attitude Hispanics</t>
  </si>
  <si>
    <t>total #fact Hispanics</t>
  </si>
  <si>
    <t>total #sig fact Hispanics</t>
  </si>
  <si>
    <t>whether theoretical motivation was present</t>
  </si>
  <si>
    <t>what theoretical motivation</t>
  </si>
  <si>
    <t>whether proposed hypotheses</t>
  </si>
  <si>
    <t>proposed hypotheses</t>
  </si>
  <si>
    <t>maybe</t>
  </si>
  <si>
    <t>race matching yields more valid answers</t>
  </si>
  <si>
    <t>stronger effect for race group related items than for government policies</t>
  </si>
  <si>
    <t>no</t>
  </si>
  <si>
    <t>yes</t>
  </si>
  <si>
    <t>zallar-feldman memory based model, group consciousness based on shared identity</t>
  </si>
  <si>
    <t>4 hypotheses: 1. Black respondents will be less likely to express the belief to white interviewers that the  Republican Party is reaching out to African Americans. We speculate that African  Americans may be concerned that white interviewers would see an affirmative response as  a potential blanket endorsement of Republican policies, both historic and current.  Conversely, conversations which are seen as “behind the veil” with a non-white interviewer  are likely to be seen as less fraught with implication.  2. Black respondents will be more likely to express greater acceptability of interracial  marriage to white interviewers. We speculate that conversations about interracial marriage  with an interviewer of another race invokes the respondent’s predispositions for  egalitarianism by keeping the concept in the abstract.  3. Black respondents will be more likely to express the belief to white interviewers that  progress has been made for African Americans, both in the South as well as the nation as a  whole. We speculate that black respondents are concerned about playing into perceived  white interviewers’ stereotypes about African Americans. However, we do not believe that  black respondents will be any more likely to express a specific attitude to a white, versus  non-white, interviewer concerning progress for other racial groups since the fear of  stereotyping will be less. 4. Black respondents will be less likely to express the belief to white interviewers that blacks  are currently economically worse off than whites, despite currently available data  demonstrating that this is, in fact, true. We speculate that black respondents are concerned  about playing into perceived white interviewers’ stereotypes about African Americans.</t>
  </si>
  <si>
    <t>politeness and recognition of verbal cues leading to desired no-offense to interviewers</t>
  </si>
  <si>
    <t>Given the persistence of negative reactions to African-Americans among whites, African-Americans can be expected to be more sensitive to white interviewers. Characteristic of the traditional role-playing behavior meant to appease and accommodate whites, African-Americans out of a sense of fear or intimidation are expected to conceal their true political beliefs and place self-imposed limits on their freedom of expression in response to the white interviewer.</t>
  </si>
  <si>
    <t>possible pressure of race, upsetting the interviewer</t>
  </si>
  <si>
    <t>social desirability, stereotype threat</t>
  </si>
  <si>
    <t>we hypothesized that respondents would offer fewer correct answers if they were given the threatening version of the questions than if they were given the nonthreatening version. And we hypothesized that black respondents would offer fewer correct answers to the political information questions when they interviewed by white interviewers than by black interviewers.</t>
  </si>
  <si>
    <t>social desirability bias</t>
  </si>
  <si>
    <t>we hypothesize that social pressures related to race would influence responses to preelection surveys: voicing support for Wilder would be the socially desirable response for whites, especially when the interviewer was black.</t>
  </si>
  <si>
    <t>social distance model, deference model</t>
  </si>
  <si>
    <t>What are the effects of actual interviewer race/ethnicity on racial/ethnic-related attitudes? a. Hypothesis 6a: Respondents will report more positive attitudes toward policies that benefit a particular group when interviewed by an interviewer of that race/ethnicity. b. Hypothesis 6b: Respondents will report more positive attitudes toward a racial/ethnic group (or a member of that groups) when being interviewed by an interviewer of that race/ethnicity. (7) What are the effects of perceived interviewer race/ethnicity on racial/ethnic-related attitudes? a. Hypothesis 7b: Effects of perceived interviewer race/ethnicity will follow a similar pattern, but be stronger than effects of actual interviewer race/ethnicity.</t>
  </si>
  <si>
    <t>stereotype threat, race matching</t>
  </si>
  <si>
    <t>social desirability bias, racial priming effect</t>
  </si>
  <si>
    <t>deference, interpersonal politeness, social distance</t>
  </si>
  <si>
    <t>items on drug use would elicit more ROI effect for social desirability bias</t>
  </si>
  <si>
    <t>deference, racial priming</t>
  </si>
  <si>
    <t>Differences in social organization will be reflected in differences in response as between rural and urban settings.  2. Differences in the social position of Negroes vis-a-vis whites will be reflected in the magnitude and direction of difference between answers given to Negro interviewers and those given to white interviewers in rural and urban settings.  3. Differences between answers given to Negro interviewers and answers given to white interviewers will reflect the accepted means by which Negroes can gain status in each social setting. Specifically,  a. With regard to church membership and participation, there will be no difference in response attributable to the interviewer's race in either rural or urban settings.  b. With regard to educational aspirations, there will be a difference attributable to race in the rural setting but not in the urban setting.  c. With regard to civil protest and political participation, there will be a marked difference in response attributable to race in the rural setting and a real but leas marked difference in the urban setting.</t>
  </si>
  <si>
    <t>social organization</t>
  </si>
  <si>
    <t>general deference</t>
  </si>
  <si>
    <t>more effect for ethnicity related items, overreporting of ethnic behavior when interviewed by someone from the same ethnicity vs. different ethnicity</t>
  </si>
  <si>
    <t>racial deference/social desirabiliy</t>
  </si>
  <si>
    <t>black respondents will resume or perceive younger black interviewers to be more millitant than older black interviewers, and would then reciprocate with greater millitancy themselves.</t>
  </si>
  <si>
    <t>1. The greater the social distance between the interviewer and respondent, the greater the likelihood of bias, all else being equal. 2. The more threatening the interview schedule question, the greater the likelihood of bias, all else being equal.</t>
  </si>
  <si>
    <t>social distance, threat associated with the survey item (more racially explicit vs. not so much)</t>
  </si>
  <si>
    <t>perceived race of interviewer is a more appropriate measure of race of interviewer effects than the actual race of  interviewer.</t>
  </si>
  <si>
    <t>social desirability, impression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</si>
</sst>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1"/>
      <color rgb="FF000000"/>
      <name val="Calibri"/>
      <family val="2"/>
    </font>
    <font>
      <sz val="11"/>
      <color rgb="FF000000"/>
      <name val="Calibri"/>
      <family val="2"/>
    </font>
    <font>
      <sz val="11"/>
      <color theme="1"/>
      <name val="Calibri"/>
      <family val="2"/>
    </font>
    <font>
      <b/>
      <sz val="9"/>
      <color indexed="81"/>
      <name val="Tahoma"/>
      <charset val="1"/>
    </font>
    <font>
      <sz val="9"/>
      <color indexed="81"/>
      <name val="Tahoma"/>
      <charset val="1"/>
    </font>
    <font>
      <b/>
      <sz val="9"/>
      <color indexed="81"/>
      <name val="Tahoma"/>
      <family val="2"/>
    </font>
    <font>
      <sz val="9"/>
      <color indexed="81"/>
      <name val="Tahoma"/>
      <family val="2"/>
    </font>
    <font>
      <sz val="11"/>
      <color rgb="FF000000"/>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BFBFBF"/>
        <bgColor rgb="FF000000"/>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rgb="FFFFC000"/>
        <bgColor indexed="64"/>
      </patternFill>
    </fill>
  </fills>
  <borders count="4">
    <border>
      <left/>
      <right/>
      <top/>
      <bottom/>
      <diagonal/>
    </border>
    <border>
      <left/>
      <right/>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0" fillId="0" borderId="0" applyFont="0" applyFill="0" applyBorder="0" applyAlignment="0" applyProtection="0"/>
  </cellStyleXfs>
  <cellXfs count="27">
    <xf numFmtId="0" fontId="0" fillId="0" borderId="0" xfId="0"/>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1" fillId="3" borderId="1" xfId="0" applyFont="1" applyFill="1" applyBorder="1" applyAlignment="1">
      <alignment horizontal="center" vertical="center" wrapText="1"/>
    </xf>
    <xf numFmtId="3" fontId="0" fillId="0" borderId="0" xfId="0" applyNumberFormat="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9" fontId="0" fillId="0" borderId="0" xfId="1" applyFont="1"/>
    <xf numFmtId="0" fontId="0" fillId="0" borderId="0" xfId="1" applyNumberFormat="1" applyFont="1"/>
    <xf numFmtId="0" fontId="1" fillId="4" borderId="3" xfId="0" applyFont="1" applyFill="1" applyBorder="1"/>
    <xf numFmtId="0" fontId="2" fillId="2" borderId="0" xfId="0" applyFont="1" applyFill="1" applyAlignment="1">
      <alignment horizontal="center" vertical="center" wrapText="1"/>
    </xf>
    <xf numFmtId="0" fontId="0" fillId="5" borderId="0" xfId="0" applyFill="1"/>
    <xf numFmtId="0" fontId="1" fillId="0" borderId="3" xfId="0" applyFont="1" applyBorder="1"/>
    <xf numFmtId="0" fontId="0" fillId="0" borderId="0" xfId="1" applyNumberFormat="1" applyFont="1" applyFill="1"/>
    <xf numFmtId="0" fontId="1" fillId="0" borderId="0" xfId="0" applyFont="1"/>
    <xf numFmtId="0" fontId="1" fillId="0" borderId="2" xfId="0" applyFont="1" applyBorder="1"/>
    <xf numFmtId="9" fontId="0" fillId="0" borderId="0" xfId="0" applyNumberFormat="1"/>
    <xf numFmtId="0" fontId="3" fillId="0" borderId="0" xfId="1" applyNumberFormat="1" applyFont="1" applyAlignment="1">
      <alignment horizontal="center" vertical="center" wrapText="1"/>
    </xf>
    <xf numFmtId="0" fontId="0" fillId="0" borderId="0" xfId="0" applyAlignment="1">
      <alignment wrapText="1"/>
    </xf>
    <xf numFmtId="0" fontId="2" fillId="2" borderId="0" xfId="0" applyFont="1" applyFill="1" applyAlignment="1">
      <alignment horizontal="left" vertical="center" wrapText="1"/>
    </xf>
    <xf numFmtId="0" fontId="0" fillId="0" borderId="0" xfId="0"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ayini Das" refreshedDate="45993.59322800926" createdVersion="8" refreshedVersion="8" minRefreshableVersion="3" recordCount="30" xr:uid="{42DAEF9A-A6F4-40E6-AF7C-D22DDB3BE5D5}">
  <cacheSource type="worksheet">
    <worksheetSource ref="O15:V15" sheet="Multivariate results"/>
  </cacheSource>
  <cacheFields count="48">
    <cacheField name="Author(s)" numFmtId="0">
      <sharedItems/>
    </cacheField>
    <cacheField name="Pub Year" numFmtId="0">
      <sharedItems containsSemiMixedTypes="0" containsString="0" containsNumber="1" containsInteger="1" minValue="1954" maxValue="2019"/>
    </cacheField>
    <cacheField name="DC Year Coding" numFmtId="0">
      <sharedItems/>
    </cacheField>
    <cacheField name="ROR" numFmtId="0">
      <sharedItems containsBlank="1" count="9">
        <s v="Black"/>
        <s v="Black and White"/>
        <s v="White"/>
        <s v="Non-Hispanic White, Non-Hispanic Black and Hispanic"/>
        <s v="Black, White and Hispanic"/>
        <s v="White or Mixed and Blacks"/>
        <s v="Mexican-American"/>
        <m u="1"/>
        <s v="White relative to Black" u="1"/>
      </sharedItems>
    </cacheField>
    <cacheField name="ROI" numFmtId="0">
      <sharedItems/>
    </cacheField>
    <cacheField name="Population" numFmtId="0">
      <sharedItems/>
    </cacheField>
    <cacheField name="New Population Coding" numFmtId="0">
      <sharedItems/>
    </cacheField>
    <cacheField name="National?" numFmtId="0">
      <sharedItems/>
    </cacheField>
    <cacheField name="Mode" numFmtId="0">
      <sharedItems count="2">
        <s v="F2F"/>
        <s v="telephone"/>
      </sharedItems>
    </cacheField>
    <cacheField name="AROI/_x000a_PROI" numFmtId="0">
      <sharedItems/>
    </cacheField>
    <cacheField name="Random Assignment" numFmtId="0">
      <sharedItems/>
    </cacheField>
    <cacheField name="Question Type" numFmtId="0">
      <sharedItems/>
    </cacheField>
    <cacheField name="Multivariate Done" numFmtId="0">
      <sharedItems containsBlank="1" count="3">
        <s v="Y"/>
        <s v="N"/>
        <m u="1"/>
      </sharedItems>
    </cacheField>
    <cacheField name="Bivariate done" numFmtId="0">
      <sharedItems containsBlank="1" count="3">
        <s v="Y"/>
        <s v="N"/>
        <m u="1"/>
      </sharedItems>
    </cacheField>
    <cacheField name="# nonracial attitudes for Blacks" numFmtId="0">
      <sharedItems containsString="0" containsBlank="1" containsNumber="1" containsInteger="1" minValue="0" maxValue="29"/>
    </cacheField>
    <cacheField name="# nonracial facts for Blacks" numFmtId="0">
      <sharedItems containsString="0" containsBlank="1" containsNumber="1" containsInteger="1" minValue="0" maxValue="47"/>
    </cacheField>
    <cacheField name="# racial attitudes for Blacks" numFmtId="0">
      <sharedItems containsString="0" containsBlank="1" containsNumber="1" containsInteger="1" minValue="0" maxValue="40"/>
    </cacheField>
    <cacheField name="# racial facts for Blacks" numFmtId="0">
      <sharedItems containsString="0" containsBlank="1" containsNumber="1" containsInteger="1" minValue="0" maxValue="14"/>
    </cacheField>
    <cacheField name="% sig nonracial attitudes for Blacks" numFmtId="0">
      <sharedItems containsBlank="1" containsMixedTypes="1" containsNumber="1" minValue="0" maxValue="1"/>
    </cacheField>
    <cacheField name="% sig nonracial facts for Blacks" numFmtId="0">
      <sharedItems containsBlank="1" containsMixedTypes="1" containsNumber="1" minValue="0" maxValue="1"/>
    </cacheField>
    <cacheField name="% sig racial attitudes for Blacks" numFmtId="0">
      <sharedItems containsBlank="1" containsMixedTypes="1" containsNumber="1" minValue="0" maxValue="1"/>
    </cacheField>
    <cacheField name="% sig racial facts for Blacks" numFmtId="0">
      <sharedItems containsBlank="1" containsMixedTypes="1" containsNumber="1" minValue="0.43" maxValue="1"/>
    </cacheField>
    <cacheField name="# nonracial attitudes for Whites" numFmtId="0">
      <sharedItems containsString="0" containsBlank="1" containsNumber="1" containsInteger="1" minValue="0" maxValue="21"/>
    </cacheField>
    <cacheField name="# nonracial facts for Whites" numFmtId="0">
      <sharedItems containsString="0" containsBlank="1" containsNumber="1" containsInteger="1" minValue="0" maxValue="1"/>
    </cacheField>
    <cacheField name="# racial attitudes for Whites" numFmtId="0">
      <sharedItems containsString="0" containsBlank="1" containsNumber="1" containsInteger="1" minValue="0" maxValue="18"/>
    </cacheField>
    <cacheField name="# racial facts for Whites" numFmtId="0">
      <sharedItems containsString="0" containsBlank="1" containsNumber="1" containsInteger="1" minValue="0" maxValue="0"/>
    </cacheField>
    <cacheField name="% sig nonracial attitudes for Whites" numFmtId="0">
      <sharedItems containsBlank="1" containsMixedTypes="1" containsNumber="1" minValue="0" maxValue="1"/>
    </cacheField>
    <cacheField name="% sig nonracial facts for Whites" numFmtId="0">
      <sharedItems containsBlank="1" containsMixedTypes="1" containsNumber="1" containsInteger="1" minValue="0" maxValue="1"/>
    </cacheField>
    <cacheField name="% sig racial attitudes for Whites" numFmtId="0">
      <sharedItems containsBlank="1" containsMixedTypes="1" containsNumber="1" minValue="0" maxValue="1"/>
    </cacheField>
    <cacheField name="% sig racial facts for Whites" numFmtId="0">
      <sharedItems containsBlank="1"/>
    </cacheField>
    <cacheField name="# nonracial attitudes for Hispanics" numFmtId="0">
      <sharedItems containsString="0" containsBlank="1" containsNumber="1" containsInteger="1" minValue="0" maxValue="21"/>
    </cacheField>
    <cacheField name="# nonracial facts for Hispanics" numFmtId="0">
      <sharedItems containsString="0" containsBlank="1" containsNumber="1" containsInteger="1" minValue="0" maxValue="0"/>
    </cacheField>
    <cacheField name="# racial attitudes for Hispanics" numFmtId="0">
      <sharedItems containsString="0" containsBlank="1" containsNumber="1" containsInteger="1" minValue="0" maxValue="7"/>
    </cacheField>
    <cacheField name="# racial facts for Hispanics" numFmtId="0">
      <sharedItems containsString="0" containsBlank="1" containsNumber="1" containsInteger="1" minValue="0" maxValue="6"/>
    </cacheField>
    <cacheField name="% sig nonracial attitudes for Hispanics" numFmtId="0">
      <sharedItems containsBlank="1" containsMixedTypes="1" containsNumber="1" minValue="0.33" maxValue="1"/>
    </cacheField>
    <cacheField name="% sig nonracial facts for Hispanics" numFmtId="0">
      <sharedItems containsBlank="1"/>
    </cacheField>
    <cacheField name="% sig racial attitudes for Hispanics" numFmtId="0">
      <sharedItems containsBlank="1" containsMixedTypes="1" containsNumber="1" minValue="0" maxValue="0.4"/>
    </cacheField>
    <cacheField name="%sig racial facts for Hispanics" numFmtId="0">
      <sharedItems containsBlank="1" containsMixedTypes="1" containsNumber="1" minValue="0.33" maxValue="0.33"/>
    </cacheField>
    <cacheField name="Proper Analysis" numFmtId="0">
      <sharedItems/>
    </cacheField>
    <cacheField name="analyzed subset of/full questionnaire" numFmtId="0">
      <sharedItems/>
    </cacheField>
    <cacheField name="reports response rates by I race" numFmtId="0">
      <sharedItems/>
    </cacheField>
    <cacheField name="#Is reported in particular race (&gt;=3)" numFmtId="0">
      <sharedItems/>
    </cacheField>
    <cacheField name="confounding of race and language" numFmtId="0">
      <sharedItems/>
    </cacheField>
    <cacheField name="pub year dichotomy" numFmtId="0">
      <sharedItems/>
    </cacheField>
    <cacheField name="pub year trichotomy" numFmtId="0">
      <sharedItems/>
    </cacheField>
    <cacheField name="#papers cited" numFmtId="0">
      <sharedItems containsSemiMixedTypes="0" containsString="0" containsNumber="1" containsInteger="1" minValue="0" maxValue="19"/>
    </cacheField>
    <cacheField name="#quality conditions met" numFmtId="0">
      <sharedItems containsSemiMixedTypes="0" containsString="0" containsNumber="1" containsInteger="1" minValue="1" maxValue="5"/>
    </cacheField>
    <cacheField name="Multivariate Done for all items or no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012.406013888889" backgroundQuery="1" createdVersion="8" refreshedVersion="8" minRefreshableVersion="3" recordCount="0" supportSubquery="1" supportAdvancedDrill="1" xr:uid="{35384A9E-40B6-4418-8097-875D5DC016A5}">
  <cacheSource type="external" connectionId="1"/>
  <cacheFields count="17">
    <cacheField name="[Measures].[Count of Author(s)]" caption="Count of Author(s)" numFmtId="0" hierarchy="63" level="32767"/>
    <cacheField name="[Range].[ROR].[ROR]" caption="ROR" numFmtId="0" hierarchy="3" level="1">
      <sharedItems containsSemiMixedTypes="0" containsNonDate="0" containsString="0"/>
    </cacheField>
    <cacheField name="[Range].[Bivariate done].[Bivariate done]" caption="Bivariate done" numFmtId="0" hierarchy="13" level="1">
      <sharedItems containsSemiMixedTypes="0" containsNonDate="0" containsString="0"/>
    </cacheField>
    <cacheField name="[Range].[Multivariate Done].[Multivariate Done]" caption="Multivariate Done" numFmtId="0" hierarchy="12" level="1">
      <sharedItems containsSemiMixedTypes="0" containsNonDate="0" containsString="0"/>
    </cacheField>
    <cacheField name="[Measures].[Sum of # nonracial attitudes for Blacks]" caption="Sum of # nonracial attitudes for Blacks" numFmtId="0" hierarchy="76" level="32767"/>
    <cacheField name="[Measures].[Sum of # nonracial facts for Blacks]" caption="Sum of # nonracial facts for Blacks" numFmtId="0" hierarchy="77" level="32767"/>
    <cacheField name="[Measures].[Sum of # racial attitudes for Blacks]" caption="Sum of # racial attitudes for Blacks" numFmtId="0" hierarchy="78" level="32767"/>
    <cacheField name="[Measures].[Sum of # racial facts for Blacks]" caption="Sum of # racial facts for Blacks" numFmtId="0" hierarchy="79" level="32767"/>
    <cacheField name="[Measures].[Sum of # nonracial attitudes for Whites]" caption="Sum of # nonracial attitudes for Whites" numFmtId="0" hierarchy="80" level="32767"/>
    <cacheField name="[Measures].[Sum of # nonracial facts for Whites]" caption="Sum of # nonracial facts for Whites" numFmtId="0" hierarchy="81" level="32767"/>
    <cacheField name="[Measures].[Sum of # racial attitudes for Whites]" caption="Sum of # racial attitudes for Whites" numFmtId="0" hierarchy="82" level="32767"/>
    <cacheField name="[Measures].[Sum of # racial facts for Whites]" caption="Sum of # racial facts for Whites" numFmtId="0" hierarchy="83" level="32767"/>
    <cacheField name="[Measures].[Sum of # nonracial attitudes for Hispanics]" caption="Sum of # nonracial attitudes for Hispanics" numFmtId="0" hierarchy="84" level="32767"/>
    <cacheField name="[Measures].[Sum of # nonracial facts for Hispanics]" caption="Sum of # nonracial facts for Hispanics" numFmtId="0" hierarchy="85" level="32767"/>
    <cacheField name="[Measures].[Sum of # racial attitudes for Hispanics]" caption="Sum of # racial attitudes for Hispanics" numFmtId="0" hierarchy="86" level="32767"/>
    <cacheField name="[Measures].[Sum of # racial facts for Hispanics]" caption="Sum of # racial facts for Hispanics" numFmtId="0" hierarchy="87" level="32767"/>
    <cacheField name="[Range].[DC Year Coding].[DC Year Coding]" caption="DC Year Coding" numFmtId="0" hierarchy="2" level="1">
      <sharedItems count="4">
        <s v="1942-1979"/>
        <s v="1982-1999"/>
        <s v="2000-2012"/>
        <s v="NA"/>
      </sharedItems>
    </cacheField>
  </cacheFields>
  <cacheHierarchies count="88">
    <cacheHierarchy uniqueName="[Range].[Author(s)]" caption="Author(s)" attribute="1" defaultMemberUniqueName="[Range].[Author(s)].[All]" allUniqueName="[Range].[Author(s)].[All]" dimensionUniqueName="[Range]" displayFolder="" count="0" memberValueDatatype="130" unbalanced="0"/>
    <cacheHierarchy uniqueName="[Range].[Pub Year]" caption="Pub Year" attribute="1" defaultMemberUniqueName="[Range].[Pub Year].[All]" allUniqueName="[Range].[Pub Year].[All]" dimensionUniqueName="[Range]" displayFolder="" count="0" memberValueDatatype="20" unbalanced="0"/>
    <cacheHierarchy uniqueName="[Range].[DC Year Coding]" caption="DC Year Coding" attribute="1" defaultMemberUniqueName="[Range].[DC Year Coding].[All]" allUniqueName="[Range].[DC Year Coding].[All]" dimensionUniqueName="[Range]" displayFolder="" count="2" memberValueDatatype="130" unbalanced="0">
      <fieldsUsage count="2">
        <fieldUsage x="-1"/>
        <fieldUsage x="16"/>
      </fieldsUsage>
    </cacheHierarchy>
    <cacheHierarchy uniqueName="[Range].[ROR]" caption="ROR" attribute="1" defaultMemberUniqueName="[Range].[ROR].[All]" allUniqueName="[Range].[ROR].[All]" dimensionUniqueName="[Range]" displayFolder="" count="2" memberValueDatatype="130" unbalanced="0">
      <fieldsUsage count="2">
        <fieldUsage x="-1"/>
        <fieldUsage x="1"/>
      </fieldsUsage>
    </cacheHierarchy>
    <cacheHierarchy uniqueName="[Range].[ROI]" caption="ROI" attribute="1" defaultMemberUniqueName="[Range].[ROI].[All]" allUniqueName="[Range].[ROI].[All]" dimensionUniqueName="[Range]" displayFolder="" count="0" memberValueDatatype="130" unbalanced="0"/>
    <cacheHierarchy uniqueName="[Range].[Population]" caption="Population" attribute="1" defaultMemberUniqueName="[Range].[Population].[All]" allUniqueName="[Range].[Population].[All]" dimensionUniqueName="[Range]" displayFolder="" count="0" memberValueDatatype="130" unbalanced="0"/>
    <cacheHierarchy uniqueName="[Range].[New Population Coding]" caption="New Population Coding" attribute="1" defaultMemberUniqueName="[Range].[New Population Coding].[All]" allUniqueName="[Range].[New Population Coding].[All]" dimensionUniqueName="[Range]" displayFolder="" count="0" memberValueDatatype="130" unbalanced="0"/>
    <cacheHierarchy uniqueName="[Range].[National?]" caption="National?" attribute="1" defaultMemberUniqueName="[Range].[National?].[All]" allUniqueName="[Range].[National?].[All]" dimensionUniqueName="[Range]" displayFolder="" count="0" memberValueDatatype="130" unbalanced="0"/>
    <cacheHierarchy uniqueName="[Range].[Mode]" caption="Mode" attribute="1" defaultMemberUniqueName="[Range].[Mode].[All]" allUniqueName="[Range].[Mode].[All]" dimensionUniqueName="[Range]" displayFolder="" count="0" memberValueDatatype="130" unbalanced="0"/>
    <cacheHierarchy uniqueName="[Range].[AROI/ PROI]" caption="AROI/ PROI" attribute="1" defaultMemberUniqueName="[Range].[AROI/ PROI].[All]" allUniqueName="[Range].[AROI/ PROI].[All]" dimensionUniqueName="[Range]" displayFolder="" count="0" memberValueDatatype="130" unbalanced="0"/>
    <cacheHierarchy uniqueName="[Range].[Random Assignment]" caption="Random Assignment" attribute="1" defaultMemberUniqueName="[Range].[Random Assignment].[All]" allUniqueName="[Range].[Random Assignment].[All]" dimensionUniqueName="[Range]" displayFolder="" count="0" memberValueDatatype="130" unbalanced="0"/>
    <cacheHierarchy uniqueName="[Range].[Question Type]" caption="Question Type" attribute="1" defaultMemberUniqueName="[Range].[Question Type].[All]" allUniqueName="[Range].[Question Type].[All]" dimensionUniqueName="[Range]" displayFolder="" count="0" memberValueDatatype="130" unbalanced="0"/>
    <cacheHierarchy uniqueName="[Range].[Multivariate Done]" caption="Multivariate Done" attribute="1" defaultMemberUniqueName="[Range].[Multivariate Done].[All]" allUniqueName="[Range].[Multivariate Done].[All]" dimensionUniqueName="[Range]" displayFolder="" count="2" memberValueDatatype="130" unbalanced="0">
      <fieldsUsage count="2">
        <fieldUsage x="-1"/>
        <fieldUsage x="3"/>
      </fieldsUsage>
    </cacheHierarchy>
    <cacheHierarchy uniqueName="[Range].[Bivariate done]" caption="Bivariate done" attribute="1" defaultMemberUniqueName="[Range].[Bivariate done].[All]" allUniqueName="[Range].[Bivariate done].[All]" dimensionUniqueName="[Range]" displayFolder="" count="2" memberValueDatatype="130" unbalanced="0">
      <fieldsUsage count="2">
        <fieldUsage x="-1"/>
        <fieldUsage x="2"/>
      </fieldsUsage>
    </cacheHierarchy>
    <cacheHierarchy uniqueName="[Range].[# nonracial attitudes for Blacks]" caption="# nonracial attitudes for Blacks" attribute="1" defaultMemberUniqueName="[Range].[# nonracial attitudes for Blacks].[All]" allUniqueName="[Range].[# nonracial attitudes for Blacks].[All]" dimensionUniqueName="[Range]" displayFolder="" count="0" memberValueDatatype="20" unbalanced="0"/>
    <cacheHierarchy uniqueName="[Range].[# nonracial facts for Blacks]" caption="# nonracial facts for Blacks" attribute="1" defaultMemberUniqueName="[Range].[# nonracial facts for Blacks].[All]" allUniqueName="[Range].[# nonracial facts for Blacks].[All]" dimensionUniqueName="[Range]" displayFolder="" count="0" memberValueDatatype="20" unbalanced="0"/>
    <cacheHierarchy uniqueName="[Range].[# racial attitudes for Blacks]" caption="# racial attitudes for Blacks" attribute="1" defaultMemberUniqueName="[Range].[# racial attitudes for Blacks].[All]" allUniqueName="[Range].[# racial attitudes for Blacks].[All]" dimensionUniqueName="[Range]" displayFolder="" count="0" memberValueDatatype="20" unbalanced="0"/>
    <cacheHierarchy uniqueName="[Range].[# racial facts for Blacks]" caption="# racial facts for Blacks" attribute="1" defaultMemberUniqueName="[Range].[# racial facts for Blacks].[All]" allUniqueName="[Range].[# racial facts for Blacks].[All]" dimensionUniqueName="[Range]" displayFolder="" count="0" memberValueDatatype="20" unbalanced="0"/>
    <cacheHierarchy uniqueName="[Range].[% sig nonracial attitudes for Blacks]" caption="% sig nonracial attitudes for Blacks" attribute="1" defaultMemberUniqueName="[Range].[% sig nonracial attitudes for Blacks].[All]" allUniqueName="[Range].[% sig nonracial attitudes for Blacks].[All]" dimensionUniqueName="[Range]" displayFolder="" count="0" memberValueDatatype="5" unbalanced="0"/>
    <cacheHierarchy uniqueName="[Range].[% sig nonracial facts for Blacks]" caption="% sig nonracial facts for Blacks" attribute="1" defaultMemberUniqueName="[Range].[% sig nonracial facts for Blacks].[All]" allUniqueName="[Range].[% sig nonracial facts for Blacks].[All]" dimensionUniqueName="[Range]" displayFolder="" count="0" memberValueDatatype="5" unbalanced="0"/>
    <cacheHierarchy uniqueName="[Range].[% sig racial attitudes for Blacks]" caption="% sig racial attitudes for Blacks" attribute="1" defaultMemberUniqueName="[Range].[% sig racial attitudes for Blacks].[All]" allUniqueName="[Range].[% sig racial attitudes for Blacks].[All]" dimensionUniqueName="[Range]" displayFolder="" count="0" memberValueDatatype="5" unbalanced="0"/>
    <cacheHierarchy uniqueName="[Range].[% sig racial facts for Blacks]" caption="% sig racial facts for Blacks" attribute="1" defaultMemberUniqueName="[Range].[% sig racial facts for Blacks].[All]" allUniqueName="[Range].[% sig racial facts for Blacks].[All]" dimensionUniqueName="[Range]" displayFolder="" count="0" memberValueDatatype="5" unbalanced="0"/>
    <cacheHierarchy uniqueName="[Range].[# nonracial attitudes for Whites]" caption="# nonracial attitudes for Whites" attribute="1" defaultMemberUniqueName="[Range].[# nonracial attitudes for Whites].[All]" allUniqueName="[Range].[# nonracial attitudes for Whites].[All]" dimensionUniqueName="[Range]" displayFolder="" count="0" memberValueDatatype="20" unbalanced="0"/>
    <cacheHierarchy uniqueName="[Range].[# nonracial facts for Whites]" caption="# nonracial facts for Whites" attribute="1" defaultMemberUniqueName="[Range].[# nonracial facts for Whites].[All]" allUniqueName="[Range].[# nonracial facts for Whites].[All]" dimensionUniqueName="[Range]" displayFolder="" count="0" memberValueDatatype="20" unbalanced="0"/>
    <cacheHierarchy uniqueName="[Range].[# racial attitudes for Whites]" caption="# racial attitudes for Whites" attribute="1" defaultMemberUniqueName="[Range].[# racial attitudes for Whites].[All]" allUniqueName="[Range].[# racial attitudes for Whites].[All]" dimensionUniqueName="[Range]" displayFolder="" count="0" memberValueDatatype="20" unbalanced="0"/>
    <cacheHierarchy uniqueName="[Range].[# racial facts for Whites]" caption="# racial facts for Whites" attribute="1" defaultMemberUniqueName="[Range].[# racial facts for Whites].[All]" allUniqueName="[Range].[# racial facts for Whites].[All]" dimensionUniqueName="[Range]" displayFolder="" count="0" memberValueDatatype="20" unbalanced="0"/>
    <cacheHierarchy uniqueName="[Range].[% sig nonracial attitudes for Whites]" caption="% sig nonracial attitudes for Whites" attribute="1" defaultMemberUniqueName="[Range].[% sig nonracial attitudes for Whites].[All]" allUniqueName="[Range].[% sig nonracial attitudes for Whites].[All]" dimensionUniqueName="[Range]" displayFolder="" count="0" memberValueDatatype="5" unbalanced="0"/>
    <cacheHierarchy uniqueName="[Range].[% sig nonracial facts for Whites]" caption="% sig nonracial facts for Whites" attribute="1" defaultMemberUniqueName="[Range].[% sig nonracial facts for Whites].[All]" allUniqueName="[Range].[% sig nonracial facts for Whites].[All]" dimensionUniqueName="[Range]" displayFolder="" count="0" memberValueDatatype="20" unbalanced="0"/>
    <cacheHierarchy uniqueName="[Range].[% sig racial attitudes for Whites]" caption="% sig racial attitudes for Whites" attribute="1" defaultMemberUniqueName="[Range].[% sig racial attitudes for Whites].[All]" allUniqueName="[Range].[% sig racial attitudes for Whites].[All]" dimensionUniqueName="[Range]" displayFolder="" count="0" memberValueDatatype="5" unbalanced="0"/>
    <cacheHierarchy uniqueName="[Range].[% sig racial facts for Whites]" caption="% sig racial facts for Whites" attribute="1" defaultMemberUniqueName="[Range].[% sig racial facts for Whites].[All]" allUniqueName="[Range].[% sig racial facts for Whites].[All]" dimensionUniqueName="[Range]" displayFolder="" count="0" memberValueDatatype="130" unbalanced="0"/>
    <cacheHierarchy uniqueName="[Range].[# nonracial attitudes for Hispanics]" caption="# nonracial attitudes for Hispanics" attribute="1" defaultMemberUniqueName="[Range].[# nonracial attitudes for Hispanics].[All]" allUniqueName="[Range].[# nonracial attitudes for Hispanics].[All]" dimensionUniqueName="[Range]" displayFolder="" count="0" memberValueDatatype="20" unbalanced="0"/>
    <cacheHierarchy uniqueName="[Range].[# nonracial facts for Hispanics]" caption="# nonracial facts for Hispanics" attribute="1" defaultMemberUniqueName="[Range].[# nonracial facts for Hispanics].[All]" allUniqueName="[Range].[# nonracial facts for Hispanics].[All]" dimensionUniqueName="[Range]" displayFolder="" count="0" memberValueDatatype="20" unbalanced="0"/>
    <cacheHierarchy uniqueName="[Range].[# racial attitudes for Hispanics]" caption="# racial attitudes for Hispanics" attribute="1" defaultMemberUniqueName="[Range].[# racial attitudes for Hispanics].[All]" allUniqueName="[Range].[# racial attitudes for Hispanics].[All]" dimensionUniqueName="[Range]" displayFolder="" count="0" memberValueDatatype="20" unbalanced="0"/>
    <cacheHierarchy uniqueName="[Range].[# racial facts for Hispanics]" caption="# racial facts for Hispanics" attribute="1" defaultMemberUniqueName="[Range].[# racial facts for Hispanics].[All]" allUniqueName="[Range].[# racial facts for Hispanics].[All]" dimensionUniqueName="[Range]" displayFolder="" count="0" memberValueDatatype="20" unbalanced="0"/>
    <cacheHierarchy uniqueName="[Range].[% sig nonracial attitudes for Hispanics]" caption="% sig nonracial attitudes for Hispanics" attribute="1" defaultMemberUniqueName="[Range].[% sig nonracial attitudes for Hispanics].[All]" allUniqueName="[Range].[% sig nonracial attitudes for Hispanics].[All]" dimensionUniqueName="[Range]" displayFolder="" count="0" memberValueDatatype="20" unbalanced="0"/>
    <cacheHierarchy uniqueName="[Range].[% sig nonracial facts for Hispanics]" caption="% sig nonracial facts for Hispanics" attribute="1" defaultMemberUniqueName="[Range].[% sig nonracial facts for Hispanics].[All]" allUniqueName="[Range].[% sig nonracial facts for Hispanics].[All]" dimensionUniqueName="[Range]" displayFolder="" count="0" memberValueDatatype="130" unbalanced="0"/>
    <cacheHierarchy uniqueName="[Range].[% sig racial attitudes for Hispanics]" caption="% sig racial attitudes for Hispanics" attribute="1" defaultMemberUniqueName="[Range].[% sig racial attitudes for Hispanics].[All]" allUniqueName="[Range].[% sig racial attitudes for Hispanics].[All]" dimensionUniqueName="[Range]" displayFolder="" count="0" memberValueDatatype="20" unbalanced="0"/>
    <cacheHierarchy uniqueName="[Range].[%sig racial facts for Hispanics]" caption="%sig racial facts for Hispanics" attribute="1" defaultMemberUniqueName="[Range].[%sig racial facts for Hispanics].[All]" allUniqueName="[Range].[%sig racial facts for Hispanics].[All]" dimensionUniqueName="[Range]" displayFolder="" count="0" memberValueDatatype="5" unbalanced="0"/>
    <cacheHierarchy uniqueName="[Range].[Proper Analysis]" caption="Proper Analysis" attribute="1" defaultMemberUniqueName="[Range].[Proper Analysis].[All]" allUniqueName="[Range].[Proper Analysis].[All]" dimensionUniqueName="[Range]" displayFolder="" count="0" memberValueDatatype="130" unbalanced="0"/>
    <cacheHierarchy uniqueName="[Range].[analyzed subset of/full questionnaire]" caption="analyzed subset of/full questionnaire" attribute="1" defaultMemberUniqueName="[Range].[analyzed subset of/full questionnaire].[All]" allUniqueName="[Range].[analyzed subset of/full questionnaire].[All]" dimensionUniqueName="[Range]" displayFolder="" count="0" memberValueDatatype="130" unbalanced="0"/>
    <cacheHierarchy uniqueName="[Range].[full_questionnaire_analyzed?]" caption="full_questionnaire_analyzed?" attribute="1" defaultMemberUniqueName="[Range].[full_questionnaire_analyzed?].[All]" allUniqueName="[Range].[full_questionnaire_analyzed?].[All]" dimensionUniqueName="[Range]" displayFolder="" count="0" memberValueDatatype="130" unbalanced="0"/>
    <cacheHierarchy uniqueName="[Range].[reports response rates by I race]" caption="reports response rates by I race" attribute="1" defaultMemberUniqueName="[Range].[reports response rates by I race].[All]" allUniqueName="[Range].[reports response rates by I race].[All]" dimensionUniqueName="[Range]" displayFolder="" count="0" memberValueDatatype="130" unbalanced="0"/>
    <cacheHierarchy uniqueName="[Range].[#Is reported in particular race (&gt;=3)]" caption="#Is reported in particular race (&gt;=3)" attribute="1" defaultMemberUniqueName="[Range].[#Is reported in particular race (&gt;=3)].[All]" allUniqueName="[Range].[#Is reported in particular race (&gt;=3)].[All]" dimensionUniqueName="[Range]" displayFolder="" count="0" memberValueDatatype="130" unbalanced="0"/>
    <cacheHierarchy uniqueName="[Range].[confounding of race and language]" caption="confounding of race and language" attribute="1" defaultMemberUniqueName="[Range].[confounding of race and language].[All]" allUniqueName="[Range].[confounding of race and language].[All]" dimensionUniqueName="[Range]" displayFolder="" count="0" memberValueDatatype="130" unbalanced="0"/>
    <cacheHierarchy uniqueName="[Range].[pub year dichotomy]" caption="pub year dichotomy" attribute="1" defaultMemberUniqueName="[Range].[pub year dichotomy].[All]" allUniqueName="[Range].[pub year dichotomy].[All]" dimensionUniqueName="[Range]" displayFolder="" count="0" memberValueDatatype="130" unbalanced="0"/>
    <cacheHierarchy uniqueName="[Range].[pub year trichotomy]" caption="pub year trichotomy" attribute="1" defaultMemberUniqueName="[Range].[pub year trichotomy].[All]" allUniqueName="[Range].[pub year trichotomy].[All]" dimensionUniqueName="[Range]" displayFolder="" count="0" memberValueDatatype="130" unbalanced="0"/>
    <cacheHierarchy uniqueName="[Range].[#papers cited]" caption="#papers cited" attribute="1" defaultMemberUniqueName="[Range].[#papers cited].[All]" allUniqueName="[Range].[#papers cited].[All]" dimensionUniqueName="[Range]" displayFolder="" count="0" memberValueDatatype="20" unbalanced="0"/>
    <cacheHierarchy uniqueName="[Range].[#quality conditions met]" caption="#quality conditions met" attribute="1" defaultMemberUniqueName="[Range].[#quality conditions met].[All]" allUniqueName="[Range].[#quality conditions met].[All]" dimensionUniqueName="[Range]" displayFolder="" count="0" memberValueDatatype="20" unbalanced="0"/>
    <cacheHierarchy uniqueName="[Range].[DC year coding 11_3]" caption="DC year coding 11_3" attribute="1" defaultMemberUniqueName="[Range].[DC year coding 11_3].[All]" allUniqueName="[Range].[DC year coding 11_3].[All]" dimensionUniqueName="[Range]" displayFolder="" count="0" memberValueDatatype="130" unbalanced="0"/>
    <cacheHierarchy uniqueName="[Range].[NR_att_q_num x prop sig for Blacks (OxS)]" caption="NR_att_q_num x prop sig for Blacks (OxS)" attribute="1" defaultMemberUniqueName="[Range].[NR_att_q_num x prop sig for Blacks (OxS)].[All]" allUniqueName="[Range].[NR_att_q_num x prop sig for Blacks (OxS)].[All]" dimensionUniqueName="[Range]" displayFolder="" count="0" memberValueDatatype="20" unbalanced="0"/>
    <cacheHierarchy uniqueName="[Range].[NR_fact_q_num x prop sig for Blacks (PxT)]" caption="NR_fact_q_num x prop sig for Blacks (PxT)" attribute="1" defaultMemberUniqueName="[Range].[NR_fact_q_num x prop sig for Blacks (PxT)].[All]" allUniqueName="[Range].[NR_fact_q_num x prop sig for Blacks (PxT)].[All]" dimensionUniqueName="[Range]" displayFolder="" count="0" memberValueDatatype="5" unbalanced="0"/>
    <cacheHierarchy uniqueName="[Range].[R_att_q_num x prop sig for Blacks (QxU)]" caption="R_att_q_num x prop sig for Blacks (QxU)" attribute="1" defaultMemberUniqueName="[Range].[R_att_q_num x prop sig for Blacks (QxU)].[All]" allUniqueName="[Range].[R_att_q_num x prop sig for Blacks (QxU)].[All]" dimensionUniqueName="[Range]" displayFolder="" count="0" memberValueDatatype="5" unbalanced="0"/>
    <cacheHierarchy uniqueName="[Range].[R_fact_q_num x prop sig for Blacks (RxV)]" caption="R_fact_q_num x prop sig for Blacks (RxV)" attribute="1" defaultMemberUniqueName="[Range].[R_fact_q_num x prop sig for Blacks (RxV)].[All]" allUniqueName="[Range].[R_fact_q_num x prop sig for Blacks (RxV)].[All]" dimensionUniqueName="[Range]" displayFolder="" count="0" memberValueDatatype="5" unbalanced="0"/>
    <cacheHierarchy uniqueName="[Range].[NR_att_q_num x prop sig for Whites (WxAA)]" caption="NR_att_q_num x prop sig for Whites (WxAA)" attribute="1" defaultMemberUniqueName="[Range].[NR_att_q_num x prop sig for Whites (WxAA)].[All]" allUniqueName="[Range].[NR_att_q_num x prop sig for Whites (WxAA)].[All]" dimensionUniqueName="[Range]" displayFolder="" count="0" memberValueDatatype="5" unbalanced="0"/>
    <cacheHierarchy uniqueName="[Range].[NR_fact_q_num x prop sig for Whites (XxAB)]" caption="NR_fact_q_num x prop sig for Whites (XxAB)" attribute="1" defaultMemberUniqueName="[Range].[NR_fact_q_num x prop sig for Whites (XxAB)].[All]" allUniqueName="[Range].[NR_fact_q_num x prop sig for Whites (XxAB)].[All]" dimensionUniqueName="[Range]" displayFolder="" count="0" memberValueDatatype="20" unbalanced="0"/>
    <cacheHierarchy uniqueName="[Range].[R_att_q_num x prop sig for Whites (YxAC)]" caption="R_att_q_num x prop sig for Whites (YxAC)" attribute="1" defaultMemberUniqueName="[Range].[R_att_q_num x prop sig for Whites (YxAC)].[All]" allUniqueName="[Range].[R_att_q_num x prop sig for Whites (YxAC)].[All]" dimensionUniqueName="[Range]" displayFolder="" count="0" memberValueDatatype="5" unbalanced="0"/>
    <cacheHierarchy uniqueName="[Range].[R_fact_q_num x prop sig for Whites (ZxAD)]" caption="R_fact_q_num x prop sig for Whites (ZxAD)" attribute="1" defaultMemberUniqueName="[Range].[R_fact_q_num x prop sig for Whites (ZxAD)].[All]" allUniqueName="[Range].[R_fact_q_num x prop sig for Whites (ZxAD)].[All]" dimensionUniqueName="[Range]" displayFolder="" count="0" memberValueDatatype="20" unbalanced="0"/>
    <cacheHierarchy uniqueName="[Range].[NR_att_q_num x prop sig for Hispanics (AExAI)]" caption="NR_att_q_num x prop sig for Hispanics (AExAI)" attribute="1" defaultMemberUniqueName="[Range].[NR_att_q_num x prop sig for Hispanics (AExAI)].[All]" allUniqueName="[Range].[NR_att_q_num x prop sig for Hispanics (AExAI)].[All]" dimensionUniqueName="[Range]" displayFolder="" count="0" memberValueDatatype="20" unbalanced="0"/>
    <cacheHierarchy uniqueName="[Range].[NR_fact_q_num x prop sig for Hispanics (AFxAJ)]" caption="NR_fact_q_num x prop sig for Hispanics (AFxAJ)" attribute="1" defaultMemberUniqueName="[Range].[NR_fact_q_num x prop sig for Hispanics (AFxAJ)].[All]" allUniqueName="[Range].[NR_fact_q_num x prop sig for Hispanics (AFxAJ)].[All]" dimensionUniqueName="[Range]" displayFolder="" count="0" memberValueDatatype="20" unbalanced="0"/>
    <cacheHierarchy uniqueName="[Range].[R_att_q_num x prop sig for Hispanics (AGxAK)]" caption="R_att_q_num x prop sig for Hispanics (AGxAK)" attribute="1" defaultMemberUniqueName="[Range].[R_att_q_num x prop sig for Hispanics (AGxAK)].[All]" allUniqueName="[Range].[R_att_q_num x prop sig for Hispanics (AGxAK)].[All]" dimensionUniqueName="[Range]" displayFolder="" count="0" memberValueDatatype="20" unbalanced="0"/>
    <cacheHierarchy uniqueName="[Range].[R_fact_q_num x prop sig for Hispanics (AHxAL)]" caption="R_fact_q_num x prop sig for Hispanics (AHxAL)" attribute="1" defaultMemberUniqueName="[Range].[R_fact_q_num x prop sig for Hispanics (AHxAL)].[All]" allUniqueName="[Range].[R_fact_q_num x prop sig for Hispanics (AHxAL)].[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Author(s)]" caption="Count of Author(s)"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NR_att_q_num x prop sig for Blacks (OxS)]" caption="Sum of NR_att_q_num x prop sig for Blacks (OxS)" measure="1" displayFolder="" measureGroup="Range" count="0" hidden="1">
      <extLst>
        <ext xmlns:x15="http://schemas.microsoft.com/office/spreadsheetml/2010/11/main" uri="{B97F6D7D-B522-45F9-BDA1-12C45D357490}">
          <x15:cacheHierarchy aggregatedColumn="49"/>
        </ext>
      </extLst>
    </cacheHierarchy>
    <cacheHierarchy uniqueName="[Measures].[Sum of NR_fact_q_num x prop sig for Blacks (PxT)]" caption="Sum of NR_fact_q_num x prop sig for Blacks (PxT)" measure="1" displayFolder="" measureGroup="Range" count="0" hidden="1">
      <extLst>
        <ext xmlns:x15="http://schemas.microsoft.com/office/spreadsheetml/2010/11/main" uri="{B97F6D7D-B522-45F9-BDA1-12C45D357490}">
          <x15:cacheHierarchy aggregatedColumn="50"/>
        </ext>
      </extLst>
    </cacheHierarchy>
    <cacheHierarchy uniqueName="[Measures].[Sum of R_att_q_num x prop sig for Blacks (QxU)]" caption="Sum of R_att_q_num x prop sig for Blacks (QxU)" measure="1" displayFolder="" measureGroup="Range" count="0" hidden="1">
      <extLst>
        <ext xmlns:x15="http://schemas.microsoft.com/office/spreadsheetml/2010/11/main" uri="{B97F6D7D-B522-45F9-BDA1-12C45D357490}">
          <x15:cacheHierarchy aggregatedColumn="51"/>
        </ext>
      </extLst>
    </cacheHierarchy>
    <cacheHierarchy uniqueName="[Measures].[Sum of R_fact_q_num x prop sig for Blacks (RxV)]" caption="Sum of R_fact_q_num x prop sig for Blacks (RxV)" measure="1" displayFolder="" measureGroup="Range" count="0" hidden="1">
      <extLst>
        <ext xmlns:x15="http://schemas.microsoft.com/office/spreadsheetml/2010/11/main" uri="{B97F6D7D-B522-45F9-BDA1-12C45D357490}">
          <x15:cacheHierarchy aggregatedColumn="52"/>
        </ext>
      </extLst>
    </cacheHierarchy>
    <cacheHierarchy uniqueName="[Measures].[Sum of NR_att_q_num x prop sig for Whites (WxAA)]" caption="Sum of NR_att_q_num x prop sig for Whites (WxAA)" measure="1" displayFolder="" measureGroup="Range" count="0" hidden="1">
      <extLst>
        <ext xmlns:x15="http://schemas.microsoft.com/office/spreadsheetml/2010/11/main" uri="{B97F6D7D-B522-45F9-BDA1-12C45D357490}">
          <x15:cacheHierarchy aggregatedColumn="53"/>
        </ext>
      </extLst>
    </cacheHierarchy>
    <cacheHierarchy uniqueName="[Measures].[Sum of NR_fact_q_num x prop sig for Whites (XxAB)]" caption="Sum of NR_fact_q_num x prop sig for Whites (XxAB)" measure="1" displayFolder="" measureGroup="Range" count="0" hidden="1">
      <extLst>
        <ext xmlns:x15="http://schemas.microsoft.com/office/spreadsheetml/2010/11/main" uri="{B97F6D7D-B522-45F9-BDA1-12C45D357490}">
          <x15:cacheHierarchy aggregatedColumn="54"/>
        </ext>
      </extLst>
    </cacheHierarchy>
    <cacheHierarchy uniqueName="[Measures].[Sum of R_att_q_num x prop sig for Whites (YxAC)]" caption="Sum of R_att_q_num x prop sig for Whites (YxAC)" measure="1" displayFolder="" measureGroup="Range" count="0" hidden="1">
      <extLst>
        <ext xmlns:x15="http://schemas.microsoft.com/office/spreadsheetml/2010/11/main" uri="{B97F6D7D-B522-45F9-BDA1-12C45D357490}">
          <x15:cacheHierarchy aggregatedColumn="55"/>
        </ext>
      </extLst>
    </cacheHierarchy>
    <cacheHierarchy uniqueName="[Measures].[Sum of R_fact_q_num x prop sig for Whites (ZxAD)]" caption="Sum of R_fact_q_num x prop sig for Whites (ZxAD)" measure="1" displayFolder="" measureGroup="Range" count="0" hidden="1">
      <extLst>
        <ext xmlns:x15="http://schemas.microsoft.com/office/spreadsheetml/2010/11/main" uri="{B97F6D7D-B522-45F9-BDA1-12C45D357490}">
          <x15:cacheHierarchy aggregatedColumn="56"/>
        </ext>
      </extLst>
    </cacheHierarchy>
    <cacheHierarchy uniqueName="[Measures].[Sum of NR_att_q_num x prop sig for Hispanics (AExAI)]" caption="Sum of NR_att_q_num x prop sig for Hispanics (AExAI)" measure="1" displayFolder="" measureGroup="Range" count="0" hidden="1">
      <extLst>
        <ext xmlns:x15="http://schemas.microsoft.com/office/spreadsheetml/2010/11/main" uri="{B97F6D7D-B522-45F9-BDA1-12C45D357490}">
          <x15:cacheHierarchy aggregatedColumn="57"/>
        </ext>
      </extLst>
    </cacheHierarchy>
    <cacheHierarchy uniqueName="[Measures].[Sum of NR_fact_q_num x prop sig for Hispanics (AFxAJ)]" caption="Sum of NR_fact_q_num x prop sig for Hispanics (AFxAJ)" measure="1" displayFolder="" measureGroup="Range" count="0" hidden="1">
      <extLst>
        <ext xmlns:x15="http://schemas.microsoft.com/office/spreadsheetml/2010/11/main" uri="{B97F6D7D-B522-45F9-BDA1-12C45D357490}">
          <x15:cacheHierarchy aggregatedColumn="58"/>
        </ext>
      </extLst>
    </cacheHierarchy>
    <cacheHierarchy uniqueName="[Measures].[Sum of R_att_q_num x prop sig for Hispanics (AGxAK)]" caption="Sum of R_att_q_num x prop sig for Hispanics (AGxAK)" measure="1" displayFolder="" measureGroup="Range" count="0" hidden="1">
      <extLst>
        <ext xmlns:x15="http://schemas.microsoft.com/office/spreadsheetml/2010/11/main" uri="{B97F6D7D-B522-45F9-BDA1-12C45D357490}">
          <x15:cacheHierarchy aggregatedColumn="59"/>
        </ext>
      </extLst>
    </cacheHierarchy>
    <cacheHierarchy uniqueName="[Measures].[Sum of R_fact_q_num x prop sig for Hispanics (AHxAL)]" caption="Sum of R_fact_q_num x prop sig for Hispanics (AHxAL)" measure="1" displayFolder="" measureGroup="Range" count="0" hidden="1">
      <extLst>
        <ext xmlns:x15="http://schemas.microsoft.com/office/spreadsheetml/2010/11/main" uri="{B97F6D7D-B522-45F9-BDA1-12C45D357490}">
          <x15:cacheHierarchy aggregatedColumn="60"/>
        </ext>
      </extLst>
    </cacheHierarchy>
    <cacheHierarchy uniqueName="[Measures].[Sum of # nonracial attitudes for Blacks]" caption="Sum of # nonracial attitudes for Blacks" measure="1" displayFolder="" measureGroup="Range"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 nonracial facts for Blacks]" caption="Sum of # nonracial facts for Blacks" measure="1" displayFolder="" measureGroup="Range"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 racial attitudes for Blacks]" caption="Sum of # racial attitudes for Blacks" measure="1" displayFolder="" measureGroup="Range" count="0" oneField="1" hidden="1">
      <fieldsUsage count="1">
        <fieldUsage x="6"/>
      </fieldsUsage>
      <extLst>
        <ext xmlns:x15="http://schemas.microsoft.com/office/spreadsheetml/2010/11/main" uri="{B97F6D7D-B522-45F9-BDA1-12C45D357490}">
          <x15:cacheHierarchy aggregatedColumn="16"/>
        </ext>
      </extLst>
    </cacheHierarchy>
    <cacheHierarchy uniqueName="[Measures].[Sum of # racial facts for Blacks]" caption="Sum of # racial facts for Blacks" measure="1" displayFolder="" measureGroup="Range" count="0" oneField="1" hidden="1">
      <fieldsUsage count="1">
        <fieldUsage x="7"/>
      </fieldsUsage>
      <extLst>
        <ext xmlns:x15="http://schemas.microsoft.com/office/spreadsheetml/2010/11/main" uri="{B97F6D7D-B522-45F9-BDA1-12C45D357490}">
          <x15:cacheHierarchy aggregatedColumn="17"/>
        </ext>
      </extLst>
    </cacheHierarchy>
    <cacheHierarchy uniqueName="[Measures].[Sum of # nonracial attitudes for Whites]" caption="Sum of # nonracial attitudes for Whites" measure="1" displayFolder="" measureGroup="Range" count="0" oneField="1" hidden="1">
      <fieldsUsage count="1">
        <fieldUsage x="8"/>
      </fieldsUsage>
      <extLst>
        <ext xmlns:x15="http://schemas.microsoft.com/office/spreadsheetml/2010/11/main" uri="{B97F6D7D-B522-45F9-BDA1-12C45D357490}">
          <x15:cacheHierarchy aggregatedColumn="22"/>
        </ext>
      </extLst>
    </cacheHierarchy>
    <cacheHierarchy uniqueName="[Measures].[Sum of # nonracial facts for Whites]" caption="Sum of # nonracial facts for Whites" measure="1" displayFolder="" measureGroup="Range" count="0" oneField="1" hidden="1">
      <fieldsUsage count="1">
        <fieldUsage x="9"/>
      </fieldsUsage>
      <extLst>
        <ext xmlns:x15="http://schemas.microsoft.com/office/spreadsheetml/2010/11/main" uri="{B97F6D7D-B522-45F9-BDA1-12C45D357490}">
          <x15:cacheHierarchy aggregatedColumn="23"/>
        </ext>
      </extLst>
    </cacheHierarchy>
    <cacheHierarchy uniqueName="[Measures].[Sum of # racial attitudes for Whites]" caption="Sum of # racial attitudes for Whites" measure="1" displayFolder="" measureGroup="Range" count="0" oneField="1" hidden="1">
      <fieldsUsage count="1">
        <fieldUsage x="10"/>
      </fieldsUsage>
      <extLst>
        <ext xmlns:x15="http://schemas.microsoft.com/office/spreadsheetml/2010/11/main" uri="{B97F6D7D-B522-45F9-BDA1-12C45D357490}">
          <x15:cacheHierarchy aggregatedColumn="24"/>
        </ext>
      </extLst>
    </cacheHierarchy>
    <cacheHierarchy uniqueName="[Measures].[Sum of # racial facts for Whites]" caption="Sum of # racial facts for Whites" measure="1" displayFolder="" measureGroup="Range" count="0" oneField="1" hidden="1">
      <fieldsUsage count="1">
        <fieldUsage x="11"/>
      </fieldsUsage>
      <extLst>
        <ext xmlns:x15="http://schemas.microsoft.com/office/spreadsheetml/2010/11/main" uri="{B97F6D7D-B522-45F9-BDA1-12C45D357490}">
          <x15:cacheHierarchy aggregatedColumn="25"/>
        </ext>
      </extLst>
    </cacheHierarchy>
    <cacheHierarchy uniqueName="[Measures].[Sum of # nonracial attitudes for Hispanics]" caption="Sum of # nonracial attitudes for Hispanics" measure="1" displayFolder="" measureGroup="Range" count="0" oneField="1" hidden="1">
      <fieldsUsage count="1">
        <fieldUsage x="12"/>
      </fieldsUsage>
      <extLst>
        <ext xmlns:x15="http://schemas.microsoft.com/office/spreadsheetml/2010/11/main" uri="{B97F6D7D-B522-45F9-BDA1-12C45D357490}">
          <x15:cacheHierarchy aggregatedColumn="30"/>
        </ext>
      </extLst>
    </cacheHierarchy>
    <cacheHierarchy uniqueName="[Measures].[Sum of # nonracial facts for Hispanics]" caption="Sum of # nonracial facts for Hispanics" measure="1" displayFolder="" measureGroup="Range" count="0" oneField="1" hidden="1">
      <fieldsUsage count="1">
        <fieldUsage x="13"/>
      </fieldsUsage>
      <extLst>
        <ext xmlns:x15="http://schemas.microsoft.com/office/spreadsheetml/2010/11/main" uri="{B97F6D7D-B522-45F9-BDA1-12C45D357490}">
          <x15:cacheHierarchy aggregatedColumn="31"/>
        </ext>
      </extLst>
    </cacheHierarchy>
    <cacheHierarchy uniqueName="[Measures].[Sum of # racial attitudes for Hispanics]" caption="Sum of # racial attitudes for Hispanics" measure="1" displayFolder="" measureGroup="Range" count="0" oneField="1" hidden="1">
      <fieldsUsage count="1">
        <fieldUsage x="14"/>
      </fieldsUsage>
      <extLst>
        <ext xmlns:x15="http://schemas.microsoft.com/office/spreadsheetml/2010/11/main" uri="{B97F6D7D-B522-45F9-BDA1-12C45D357490}">
          <x15:cacheHierarchy aggregatedColumn="32"/>
        </ext>
      </extLst>
    </cacheHierarchy>
    <cacheHierarchy uniqueName="[Measures].[Sum of # racial facts for Hispanics]" caption="Sum of # racial facts for Hispanics" measure="1" displayFolder="" measureGroup="Range" count="0" oneField="1" hidden="1">
      <fieldsUsage count="1">
        <fieldUsage x="15"/>
      </fieldsUsage>
      <extLst>
        <ext xmlns:x15="http://schemas.microsoft.com/office/spreadsheetml/2010/11/main" uri="{B97F6D7D-B522-45F9-BDA1-12C45D357490}">
          <x15:cacheHierarchy aggregatedColumn="3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2.406014120374" createdVersion="8" refreshedVersion="8" minRefreshableVersion="3" recordCount="32" xr:uid="{8744405F-8F0C-4BE7-94C5-306654840A08}">
  <cacheSource type="worksheet">
    <worksheetSource ref="A1:BN33" sheet="Bivariate results"/>
  </cacheSource>
  <cacheFields count="66">
    <cacheField name="Author(s)" numFmtId="0">
      <sharedItems/>
    </cacheField>
    <cacheField name="Pub Year" numFmtId="0">
      <sharedItems containsSemiMixedTypes="0" containsString="0" containsNumber="1" containsInteger="1" minValue="1954" maxValue="2019"/>
    </cacheField>
    <cacheField name="DC Year Coding" numFmtId="0">
      <sharedItems/>
    </cacheField>
    <cacheField name="ROR" numFmtId="0">
      <sharedItems count="7">
        <s v="Black"/>
        <s v="Black and White"/>
        <s v="White"/>
        <s v="Non-Hispanic White, Non-Hispanic Black and Hispanic"/>
        <s v="White or Mixed and Blacks"/>
        <s v="Mexican-American"/>
        <s v="Black, White and Hispanic"/>
      </sharedItems>
    </cacheField>
    <cacheField name="ROI" numFmtId="0">
      <sharedItems/>
    </cacheField>
    <cacheField name="Population" numFmtId="0">
      <sharedItems/>
    </cacheField>
    <cacheField name="New Population Coding" numFmtId="0">
      <sharedItems/>
    </cacheField>
    <cacheField name="National?" numFmtId="0">
      <sharedItems/>
    </cacheField>
    <cacheField name="Mode" numFmtId="0">
      <sharedItems/>
    </cacheField>
    <cacheField name="AROI/_x000a_PROI" numFmtId="0">
      <sharedItems/>
    </cacheField>
    <cacheField name="Random Assignment" numFmtId="0">
      <sharedItems/>
    </cacheField>
    <cacheField name="Question Type" numFmtId="0">
      <sharedItems/>
    </cacheField>
    <cacheField name="Multivariate Done" numFmtId="0">
      <sharedItems/>
    </cacheField>
    <cacheField name="Bivariate done" numFmtId="0">
      <sharedItems count="2">
        <s v="Y"/>
        <s v="N"/>
      </sharedItems>
    </cacheField>
    <cacheField name="# nonracial attitudes for Blacks" numFmtId="0">
      <sharedItems containsString="0" containsBlank="1" containsNumber="1" containsInteger="1" minValue="0" maxValue="29"/>
    </cacheField>
    <cacheField name="# nonracial facts for Blacks" numFmtId="0">
      <sharedItems containsString="0" containsBlank="1" containsNumber="1" containsInteger="1" minValue="0" maxValue="47"/>
    </cacheField>
    <cacheField name="# racial attitudes for Blacks" numFmtId="0">
      <sharedItems containsString="0" containsBlank="1" containsNumber="1" containsInteger="1" minValue="0" maxValue="40"/>
    </cacheField>
    <cacheField name="# racial facts for Blacks" numFmtId="0">
      <sharedItems containsString="0" containsBlank="1" containsNumber="1" containsInteger="1" minValue="0" maxValue="14"/>
    </cacheField>
    <cacheField name="% sig nonracial attitudes for Blacks" numFmtId="0">
      <sharedItems containsString="0" containsBlank="1" containsNumber="1" minValue="0" maxValue="1"/>
    </cacheField>
    <cacheField name="% sig nonracial facts for Blacks" numFmtId="0">
      <sharedItems containsString="0" containsBlank="1" containsNumber="1" minValue="0" maxValue="1"/>
    </cacheField>
    <cacheField name="% sig racial attitudes for Blacks" numFmtId="0">
      <sharedItems containsString="0" containsBlank="1" containsNumber="1" minValue="0" maxValue="1"/>
    </cacheField>
    <cacheField name="% sig racial facts for Blacks" numFmtId="0">
      <sharedItems containsString="0" containsBlank="1" containsNumber="1" minValue="0.43" maxValue="1"/>
    </cacheField>
    <cacheField name="# nonracial attitudes for Whites" numFmtId="0">
      <sharedItems containsString="0" containsBlank="1" containsNumber="1" containsInteger="1" minValue="0" maxValue="21"/>
    </cacheField>
    <cacheField name="# nonracial facts for Whites" numFmtId="0">
      <sharedItems containsString="0" containsBlank="1" containsNumber="1" containsInteger="1" minValue="0" maxValue="1"/>
    </cacheField>
    <cacheField name="# racial attitudes for Whites" numFmtId="0">
      <sharedItems containsString="0" containsBlank="1" containsNumber="1" containsInteger="1" minValue="0" maxValue="18"/>
    </cacheField>
    <cacheField name="# racial facts for Whites" numFmtId="0">
      <sharedItems containsString="0" containsBlank="1" containsNumber="1" containsInteger="1" minValue="0" maxValue="0"/>
    </cacheField>
    <cacheField name="% sig nonracial attitudes for Whites" numFmtId="0">
      <sharedItems containsString="0" containsBlank="1" containsNumber="1" minValue="0" maxValue="1"/>
    </cacheField>
    <cacheField name="% sig nonracial facts for Whites" numFmtId="0">
      <sharedItems containsString="0" containsBlank="1" containsNumber="1" containsInteger="1" minValue="0" maxValue="1"/>
    </cacheField>
    <cacheField name="% sig racial attitudes for Whites" numFmtId="0">
      <sharedItems containsString="0" containsBlank="1" containsNumber="1" minValue="0" maxValue="1"/>
    </cacheField>
    <cacheField name="% sig racial facts for Whites" numFmtId="0">
      <sharedItems containsNonDate="0" containsString="0" containsBlank="1"/>
    </cacheField>
    <cacheField name="# nonracial attitudes for Hispanics" numFmtId="0">
      <sharedItems containsString="0" containsBlank="1" containsNumber="1" containsInteger="1" minValue="0" maxValue="12"/>
    </cacheField>
    <cacheField name="# nonracial facts for Hispanics" numFmtId="0">
      <sharedItems containsString="0" containsBlank="1" containsNumber="1" containsInteger="1" minValue="0" maxValue="0"/>
    </cacheField>
    <cacheField name="# racial attitudes for Hispanics" numFmtId="0">
      <sharedItems containsString="0" containsBlank="1" containsNumber="1" containsInteger="1" minValue="0" maxValue="7"/>
    </cacheField>
    <cacheField name="# racial facts for Hispanics" numFmtId="0">
      <sharedItems containsString="0" containsBlank="1" containsNumber="1" containsInteger="1" minValue="0" maxValue="6"/>
    </cacheField>
    <cacheField name="% sig nonracial attitudes for Hispanics" numFmtId="0">
      <sharedItems containsString="0" containsBlank="1" containsNumber="1" containsInteger="1" minValue="1" maxValue="1"/>
    </cacheField>
    <cacheField name="% sig nonracial facts for Hispanics" numFmtId="0">
      <sharedItems containsNonDate="0" containsString="0" containsBlank="1"/>
    </cacheField>
    <cacheField name="% sig racial attitudes for Hispanics" numFmtId="0">
      <sharedItems containsString="0" containsBlank="1" containsNumber="1" containsInteger="1" minValue="0" maxValue="1"/>
    </cacheField>
    <cacheField name="%sig racial facts for Hispanics" numFmtId="0">
      <sharedItems containsString="0" containsBlank="1" containsNumber="1" minValue="0.33" maxValue="0.33"/>
    </cacheField>
    <cacheField name="Proper Analysis" numFmtId="0">
      <sharedItems/>
    </cacheField>
    <cacheField name="analyzed subset of/full questionnaire" numFmtId="0">
      <sharedItems count="3">
        <s v="subset"/>
        <s v="entire survey"/>
        <s v="uncertain"/>
      </sharedItems>
    </cacheField>
    <cacheField name="full_questionnaire_analyzed?" numFmtId="0">
      <sharedItems/>
    </cacheField>
    <cacheField name="reports response rates by I race" numFmtId="0">
      <sharedItems/>
    </cacheField>
    <cacheField name="#Is reported in particular race (&gt;=3)" numFmtId="0">
      <sharedItems/>
    </cacheField>
    <cacheField name="confounding of race and language" numFmtId="0">
      <sharedItems containsBlank="1"/>
    </cacheField>
    <cacheField name="pub year dichotomy" numFmtId="0">
      <sharedItems/>
    </cacheField>
    <cacheField name="pub year trichotomy" numFmtId="0">
      <sharedItems/>
    </cacheField>
    <cacheField name="#papers cited" numFmtId="0">
      <sharedItems containsSemiMixedTypes="0" containsString="0" containsNumber="1" containsInteger="1" minValue="0" maxValue="19"/>
    </cacheField>
    <cacheField name="#quality conditions met" numFmtId="0">
      <sharedItems containsSemiMixedTypes="0" containsString="0" containsNumber="1" containsInteger="1" minValue="0" maxValue="4"/>
    </cacheField>
    <cacheField name="DC year coding 11_3" numFmtId="0">
      <sharedItems containsNonDate="0" containsString="0" containsBlank="1"/>
    </cacheField>
    <cacheField name="NR_att_q_num x prop sig for Blacks (OxS)" numFmtId="0">
      <sharedItems containsSemiMixedTypes="0" containsString="0" containsNumber="1" containsInteger="1" minValue="1" maxValue="1"/>
    </cacheField>
    <cacheField name="NR_fact_q_num x prop sig for Blacks (PxT)" numFmtId="0">
      <sharedItems containsSemiMixedTypes="0" containsString="0" containsNumber="1" minValue="0" maxValue="8.93"/>
    </cacheField>
    <cacheField name="R_att_q_num x prop sig for Blacks (QxU)" numFmtId="0">
      <sharedItems containsSemiMixedTypes="0" containsString="0" containsNumber="1" minValue="0" maxValue="10.73"/>
    </cacheField>
    <cacheField name="R_fact_q_num x prop sig for Blacks (RxV)" numFmtId="0">
      <sharedItems containsSemiMixedTypes="0" containsString="0" containsNumber="1" minValue="0" maxValue="6.02"/>
    </cacheField>
    <cacheField name="NR_att_q_num x prop sig for Whites (WxAA)" numFmtId="0">
      <sharedItems containsSemiMixedTypes="0" containsString="0" containsNumber="1" minValue="0" maxValue="2"/>
    </cacheField>
    <cacheField name="NR_fact_q_num x prop sig for Whites (XxAB)" numFmtId="0">
      <sharedItems containsSemiMixedTypes="0" containsString="0" containsNumber="1" containsInteger="1" minValue="0" maxValue="1"/>
    </cacheField>
    <cacheField name="R_att_q_num x prop sig for Whites (YxAC)" numFmtId="0">
      <sharedItems containsSemiMixedTypes="0" containsString="0" containsNumber="1" minValue="0" maxValue="8.9699999999999989"/>
    </cacheField>
    <cacheField name="R_fact_q_num x prop sig for Whites (ZxAD)" numFmtId="0">
      <sharedItems containsSemiMixedTypes="0" containsString="0" containsNumber="1" containsInteger="1" minValue="0" maxValue="0"/>
    </cacheField>
    <cacheField name="NR_att_q_num x prop sig for Hispanics (AExAI)" numFmtId="0">
      <sharedItems containsSemiMixedTypes="0" containsString="0" containsNumber="1" containsInteger="1" minValue="0" maxValue="12"/>
    </cacheField>
    <cacheField name="NR_fact_q_num x prop sig for Hispanics (AFxAJ)" numFmtId="0">
      <sharedItems containsSemiMixedTypes="0" containsString="0" containsNumber="1" containsInteger="1" minValue="0" maxValue="0"/>
    </cacheField>
    <cacheField name="R_att_q_num x prop sig for Hispanics (AGxAK)" numFmtId="0">
      <sharedItems containsSemiMixedTypes="0" containsString="0" containsNumber="1" containsInteger="1" minValue="0" maxValue="6"/>
    </cacheField>
    <cacheField name="R_fact_q_num x prop sig for Hispanics (AHxAL)" numFmtId="0">
      <sharedItems containsSemiMixedTypes="0" containsString="0" containsNumber="1" minValue="0" maxValue="1.98"/>
    </cacheField>
    <cacheField name="sm1" numFmtId="0">
      <sharedItems containsString="0" containsBlank="1" containsNumber="1" containsInteger="1" minValue="0" maxValue="2"/>
    </cacheField>
    <cacheField name="sm2" numFmtId="0">
      <sharedItems containsString="0" containsBlank="1" containsNumber="1" containsInteger="1" minValue="0" maxValue="3"/>
    </cacheField>
    <cacheField name="total # questions" numFmtId="0">
      <sharedItems containsSemiMixedTypes="0" containsString="0" containsNumber="1" containsInteger="1" minValue="0" maxValue="130"/>
    </cacheField>
    <cacheField name="total #sig questions" numFmtId="0">
      <sharedItems containsSemiMixedTypes="0" containsString="0" containsNumber="1" containsInteger="1" minValue="1" maxValue="27"/>
    </cacheField>
    <cacheField name="total %sig item" numFmtId="0">
      <sharedItems containsMixedTypes="1" containsNumber="1" minValue="4.7619047619047616E-2" maxValue="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2.406014236112" createdVersion="8" refreshedVersion="8" minRefreshableVersion="3" recordCount="31" xr:uid="{687CD6E7-DC5C-40BA-BEB2-697978ACB476}">
  <cacheSource type="worksheet">
    <worksheetSource ref="A1:AV32" sheet="Bivariate results"/>
  </cacheSource>
  <cacheFields count="48">
    <cacheField name="Author(s)" numFmtId="0">
      <sharedItems/>
    </cacheField>
    <cacheField name="Pub Year" numFmtId="0">
      <sharedItems containsSemiMixedTypes="0" containsString="0" containsNumber="1" containsInteger="1" minValue="1954" maxValue="2019"/>
    </cacheField>
    <cacheField name="DC Year Coding" numFmtId="0">
      <sharedItems/>
    </cacheField>
    <cacheField name="ROR" numFmtId="0">
      <sharedItems containsBlank="1" count="9">
        <s v="Black"/>
        <s v="Black and White"/>
        <s v="White"/>
        <s v="Non-Hispanic White, Non-Hispanic Black and Hispanic"/>
        <s v="White or Mixed and Blacks"/>
        <s v="Mexican-American"/>
        <s v="Black, White and Hispanic"/>
        <m u="1"/>
        <s v="White relative to Black" u="1"/>
      </sharedItems>
    </cacheField>
    <cacheField name="ROI" numFmtId="0">
      <sharedItems/>
    </cacheField>
    <cacheField name="Population" numFmtId="0">
      <sharedItems/>
    </cacheField>
    <cacheField name="New Population Coding" numFmtId="0">
      <sharedItems/>
    </cacheField>
    <cacheField name="National?" numFmtId="0">
      <sharedItems/>
    </cacheField>
    <cacheField name="Mode" numFmtId="0">
      <sharedItems/>
    </cacheField>
    <cacheField name="AROI/_x000a_PROI" numFmtId="0">
      <sharedItems/>
    </cacheField>
    <cacheField name="Random Assignment" numFmtId="0">
      <sharedItems/>
    </cacheField>
    <cacheField name="Question Type" numFmtId="0">
      <sharedItems/>
    </cacheField>
    <cacheField name="Multivariate Done" numFmtId="0">
      <sharedItems containsBlank="1" count="3">
        <s v="Y"/>
        <s v="N"/>
        <m u="1"/>
      </sharedItems>
    </cacheField>
    <cacheField name="Bivariate done" numFmtId="0">
      <sharedItems containsBlank="1" count="3">
        <s v="Y"/>
        <s v="N"/>
        <m u="1"/>
      </sharedItems>
    </cacheField>
    <cacheField name="# nonracial attitudes for Blacks" numFmtId="0">
      <sharedItems containsString="0" containsBlank="1" containsNumber="1" containsInteger="1" minValue="0" maxValue="29"/>
    </cacheField>
    <cacheField name="# nonracial facts for Blacks" numFmtId="0">
      <sharedItems containsString="0" containsBlank="1" containsNumber="1" containsInteger="1" minValue="0" maxValue="47"/>
    </cacheField>
    <cacheField name="# racial attitudes for Blacks" numFmtId="0">
      <sharedItems containsString="0" containsBlank="1" containsNumber="1" containsInteger="1" minValue="0" maxValue="40"/>
    </cacheField>
    <cacheField name="# racial facts for Blacks" numFmtId="0">
      <sharedItems containsString="0" containsBlank="1" containsNumber="1" containsInteger="1" minValue="0" maxValue="14"/>
    </cacheField>
    <cacheField name="% sig nonracial attitudes for Blacks" numFmtId="0">
      <sharedItems containsString="0" containsBlank="1" containsNumber="1" minValue="0" maxValue="1"/>
    </cacheField>
    <cacheField name="% sig nonracial facts for Blacks" numFmtId="0">
      <sharedItems containsString="0" containsBlank="1" containsNumber="1" minValue="0" maxValue="1"/>
    </cacheField>
    <cacheField name="% sig racial attitudes for Blacks" numFmtId="0">
      <sharedItems containsString="0" containsBlank="1" containsNumber="1" minValue="0" maxValue="1"/>
    </cacheField>
    <cacheField name="% sig racial facts for Blacks" numFmtId="0">
      <sharedItems containsString="0" containsBlank="1" containsNumber="1" minValue="0.43" maxValue="1"/>
    </cacheField>
    <cacheField name="# nonracial attitudes for Whites" numFmtId="0">
      <sharedItems containsString="0" containsBlank="1" containsNumber="1" containsInteger="1" minValue="0" maxValue="21"/>
    </cacheField>
    <cacheField name="# nonracial facts for Whites" numFmtId="0">
      <sharedItems containsString="0" containsBlank="1" containsNumber="1" containsInteger="1" minValue="0" maxValue="1"/>
    </cacheField>
    <cacheField name="# racial attitudes for Whites" numFmtId="0">
      <sharedItems containsString="0" containsBlank="1" containsNumber="1" containsInteger="1" minValue="0" maxValue="18"/>
    </cacheField>
    <cacheField name="# racial facts for Whites" numFmtId="0">
      <sharedItems containsString="0" containsBlank="1" containsNumber="1" containsInteger="1" minValue="0" maxValue="0"/>
    </cacheField>
    <cacheField name="% sig nonracial attitudes for Whites" numFmtId="0">
      <sharedItems containsString="0" containsBlank="1" containsNumber="1" minValue="0" maxValue="1"/>
    </cacheField>
    <cacheField name="% sig nonracial facts for Whites" numFmtId="0">
      <sharedItems containsString="0" containsBlank="1" containsNumber="1" containsInteger="1" minValue="0" maxValue="1"/>
    </cacheField>
    <cacheField name="% sig racial attitudes for Whites" numFmtId="0">
      <sharedItems containsString="0" containsBlank="1" containsNumber="1" minValue="0" maxValue="1"/>
    </cacheField>
    <cacheField name="% sig racial facts for Whites" numFmtId="0">
      <sharedItems containsNonDate="0" containsString="0" containsBlank="1"/>
    </cacheField>
    <cacheField name="# nonracial attitudes for Hispanics" numFmtId="0">
      <sharedItems containsString="0" containsBlank="1" containsNumber="1" containsInteger="1" minValue="0" maxValue="12"/>
    </cacheField>
    <cacheField name="# nonracial facts for Hispanics" numFmtId="0">
      <sharedItems containsString="0" containsBlank="1" containsNumber="1" containsInteger="1" minValue="0" maxValue="0"/>
    </cacheField>
    <cacheField name="# racial attitudes for Hispanics" numFmtId="0">
      <sharedItems containsString="0" containsBlank="1" containsNumber="1" containsInteger="1" minValue="0" maxValue="7"/>
    </cacheField>
    <cacheField name="# racial facts for Hispanics" numFmtId="0">
      <sharedItems containsString="0" containsBlank="1" containsNumber="1" containsInteger="1" minValue="0" maxValue="6"/>
    </cacheField>
    <cacheField name="% sig nonracial attitudes for Hispanics" numFmtId="0">
      <sharedItems containsString="0" containsBlank="1" containsNumber="1" containsInteger="1" minValue="1" maxValue="1"/>
    </cacheField>
    <cacheField name="% sig nonracial facts for Hispanics" numFmtId="0">
      <sharedItems containsNonDate="0" containsString="0" containsBlank="1"/>
    </cacheField>
    <cacheField name="% sig racial attitudes for Hispanics" numFmtId="0">
      <sharedItems containsString="0" containsBlank="1" containsNumber="1" containsInteger="1" minValue="0" maxValue="1"/>
    </cacheField>
    <cacheField name="%sig racial facts for Hispanics" numFmtId="0">
      <sharedItems containsString="0" containsBlank="1" containsNumber="1" minValue="0.33" maxValue="0.33"/>
    </cacheField>
    <cacheField name="Proper Analysis" numFmtId="0">
      <sharedItems containsBlank="1" count="3">
        <s v="N"/>
        <s v="Y"/>
        <m u="1"/>
      </sharedItems>
    </cacheField>
    <cacheField name="analyzed subset of/full questionnaire" numFmtId="0">
      <sharedItems/>
    </cacheField>
    <cacheField name="full_questionnaire_analyzed?" numFmtId="0">
      <sharedItems/>
    </cacheField>
    <cacheField name="reports response rates by I race" numFmtId="0">
      <sharedItems/>
    </cacheField>
    <cacheField name="#Is reported in particular race (&gt;=3)" numFmtId="0">
      <sharedItems/>
    </cacheField>
    <cacheField name="confounding of race and language" numFmtId="0">
      <sharedItems containsBlank="1"/>
    </cacheField>
    <cacheField name="pub year dichotomy" numFmtId="0">
      <sharedItems/>
    </cacheField>
    <cacheField name="pub year trichotomy" numFmtId="0">
      <sharedItems/>
    </cacheField>
    <cacheField name="#papers cited" numFmtId="0">
      <sharedItems containsSemiMixedTypes="0" containsString="0" containsNumber="1" containsInteger="1" minValue="0" maxValue="19"/>
    </cacheField>
    <cacheField name="#quality conditions met"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2.406014236112" createdVersion="8" refreshedVersion="8" minRefreshableVersion="3" recordCount="32" xr:uid="{93C72771-8F81-481B-9FD3-88D5A5B0A445}">
  <cacheSource type="worksheet">
    <worksheetSource ref="A1:BI33" sheet="Bivariate results"/>
  </cacheSource>
  <cacheFields count="61">
    <cacheField name="Author(s)" numFmtId="0">
      <sharedItems/>
    </cacheField>
    <cacheField name="Pub Year" numFmtId="0">
      <sharedItems containsSemiMixedTypes="0" containsString="0" containsNumber="1" containsInteger="1" minValue="1954" maxValue="2019"/>
    </cacheField>
    <cacheField name="DC Year Coding" numFmtId="0">
      <sharedItems count="4">
        <s v="NA"/>
        <s v="2000-2012"/>
        <s v="1982-1999"/>
        <s v="1942-1979"/>
      </sharedItems>
    </cacheField>
    <cacheField name="ROR" numFmtId="0">
      <sharedItems count="7">
        <s v="Black"/>
        <s v="Black and White"/>
        <s v="White"/>
        <s v="Non-Hispanic White, Non-Hispanic Black and Hispanic"/>
        <s v="White or Mixed and Blacks"/>
        <s v="Mexican-American"/>
        <s v="Black, White and Hispanic"/>
      </sharedItems>
    </cacheField>
    <cacheField name="ROI" numFmtId="0">
      <sharedItems/>
    </cacheField>
    <cacheField name="Population" numFmtId="0">
      <sharedItems/>
    </cacheField>
    <cacheField name="New Population Coding" numFmtId="0">
      <sharedItems/>
    </cacheField>
    <cacheField name="National?" numFmtId="0">
      <sharedItems/>
    </cacheField>
    <cacheField name="Mode" numFmtId="0">
      <sharedItems/>
    </cacheField>
    <cacheField name="AROI/_x000a_PROI" numFmtId="0">
      <sharedItems/>
    </cacheField>
    <cacheField name="Random Assignment" numFmtId="0">
      <sharedItems/>
    </cacheField>
    <cacheField name="Question Type" numFmtId="0">
      <sharedItems/>
    </cacheField>
    <cacheField name="Multivariate Done" numFmtId="0">
      <sharedItems count="2">
        <s v="Y"/>
        <s v="N"/>
      </sharedItems>
    </cacheField>
    <cacheField name="Bivariate done" numFmtId="0">
      <sharedItems count="2">
        <s v="Y"/>
        <s v="N"/>
      </sharedItems>
    </cacheField>
    <cacheField name="# nonracial attitudes for Blacks" numFmtId="0">
      <sharedItems containsString="0" containsBlank="1" containsNumber="1" containsInteger="1" minValue="0" maxValue="29"/>
    </cacheField>
    <cacheField name="# nonracial facts for Blacks" numFmtId="0">
      <sharedItems containsString="0" containsBlank="1" containsNumber="1" containsInteger="1" minValue="0" maxValue="47"/>
    </cacheField>
    <cacheField name="# racial attitudes for Blacks" numFmtId="0">
      <sharedItems containsString="0" containsBlank="1" containsNumber="1" containsInteger="1" minValue="0" maxValue="40"/>
    </cacheField>
    <cacheField name="# racial facts for Blacks" numFmtId="0">
      <sharedItems containsString="0" containsBlank="1" containsNumber="1" containsInteger="1" minValue="0" maxValue="14"/>
    </cacheField>
    <cacheField name="% sig nonracial attitudes for Blacks" numFmtId="0">
      <sharedItems containsString="0" containsBlank="1" containsNumber="1" minValue="0" maxValue="1"/>
    </cacheField>
    <cacheField name="% sig nonracial facts for Blacks" numFmtId="0">
      <sharedItems containsString="0" containsBlank="1" containsNumber="1" minValue="0" maxValue="1"/>
    </cacheField>
    <cacheField name="% sig racial attitudes for Blacks" numFmtId="0">
      <sharedItems containsString="0" containsBlank="1" containsNumber="1" minValue="0" maxValue="1"/>
    </cacheField>
    <cacheField name="% sig racial facts for Blacks" numFmtId="0">
      <sharedItems containsString="0" containsBlank="1" containsNumber="1" minValue="0.43" maxValue="1"/>
    </cacheField>
    <cacheField name="# nonracial attitudes for Whites" numFmtId="0">
      <sharedItems containsString="0" containsBlank="1" containsNumber="1" containsInteger="1" minValue="0" maxValue="21"/>
    </cacheField>
    <cacheField name="# nonracial facts for Whites" numFmtId="0">
      <sharedItems containsString="0" containsBlank="1" containsNumber="1" containsInteger="1" minValue="0" maxValue="1"/>
    </cacheField>
    <cacheField name="# racial attitudes for Whites" numFmtId="0">
      <sharedItems containsString="0" containsBlank="1" containsNumber="1" containsInteger="1" minValue="0" maxValue="18"/>
    </cacheField>
    <cacheField name="# racial facts for Whites" numFmtId="0">
      <sharedItems containsString="0" containsBlank="1" containsNumber="1" containsInteger="1" minValue="0" maxValue="0"/>
    </cacheField>
    <cacheField name="% sig nonracial attitudes for Whites" numFmtId="0">
      <sharedItems containsString="0" containsBlank="1" containsNumber="1" minValue="0" maxValue="1"/>
    </cacheField>
    <cacheField name="% sig nonracial facts for Whites" numFmtId="0">
      <sharedItems containsString="0" containsBlank="1" containsNumber="1" containsInteger="1" minValue="0" maxValue="1"/>
    </cacheField>
    <cacheField name="% sig racial attitudes for Whites" numFmtId="0">
      <sharedItems containsString="0" containsBlank="1" containsNumber="1" minValue="0" maxValue="1"/>
    </cacheField>
    <cacheField name="% sig racial facts for Whites" numFmtId="0">
      <sharedItems containsNonDate="0" containsString="0" containsBlank="1"/>
    </cacheField>
    <cacheField name="# nonracial attitudes for Hispanics" numFmtId="0">
      <sharedItems containsString="0" containsBlank="1" containsNumber="1" containsInteger="1" minValue="0" maxValue="12"/>
    </cacheField>
    <cacheField name="# nonracial facts for Hispanics" numFmtId="0">
      <sharedItems containsString="0" containsBlank="1" containsNumber="1" containsInteger="1" minValue="0" maxValue="0"/>
    </cacheField>
    <cacheField name="# racial attitudes for Hispanics" numFmtId="0">
      <sharedItems containsString="0" containsBlank="1" containsNumber="1" containsInteger="1" minValue="0" maxValue="7"/>
    </cacheField>
    <cacheField name="# racial facts for Hispanics" numFmtId="0">
      <sharedItems containsString="0" containsBlank="1" containsNumber="1" containsInteger="1" minValue="0" maxValue="6"/>
    </cacheField>
    <cacheField name="% sig nonracial attitudes for Hispanics" numFmtId="0">
      <sharedItems containsString="0" containsBlank="1" containsNumber="1" containsInteger="1" minValue="1" maxValue="1"/>
    </cacheField>
    <cacheField name="% sig nonracial facts for Hispanics" numFmtId="0">
      <sharedItems containsNonDate="0" containsString="0" containsBlank="1"/>
    </cacheField>
    <cacheField name="% sig racial attitudes for Hispanics" numFmtId="0">
      <sharedItems containsString="0" containsBlank="1" containsNumber="1" containsInteger="1" minValue="0" maxValue="1"/>
    </cacheField>
    <cacheField name="%sig racial facts for Hispanics" numFmtId="0">
      <sharedItems containsString="0" containsBlank="1" containsNumber="1" minValue="0.33" maxValue="0.33"/>
    </cacheField>
    <cacheField name="Proper Analysis" numFmtId="0">
      <sharedItems/>
    </cacheField>
    <cacheField name="analyzed subset of/full questionnaire" numFmtId="0">
      <sharedItems/>
    </cacheField>
    <cacheField name="full_questionnaire_analyzed?" numFmtId="0">
      <sharedItems/>
    </cacheField>
    <cacheField name="reports response rates by I race" numFmtId="0">
      <sharedItems/>
    </cacheField>
    <cacheField name="#Is reported in particular race (&gt;=3)" numFmtId="0">
      <sharedItems/>
    </cacheField>
    <cacheField name="confounding of race and language" numFmtId="0">
      <sharedItems containsBlank="1"/>
    </cacheField>
    <cacheField name="pub year dichotomy" numFmtId="0">
      <sharedItems/>
    </cacheField>
    <cacheField name="pub year trichotomy" numFmtId="0">
      <sharedItems/>
    </cacheField>
    <cacheField name="#papers cited" numFmtId="0">
      <sharedItems containsSemiMixedTypes="0" containsString="0" containsNumber="1" containsInteger="1" minValue="0" maxValue="19"/>
    </cacheField>
    <cacheField name="#quality conditions met" numFmtId="0">
      <sharedItems containsSemiMixedTypes="0" containsString="0" containsNumber="1" containsInteger="1" minValue="0" maxValue="4"/>
    </cacheField>
    <cacheField name="DC year coding 11_3" numFmtId="0">
      <sharedItems containsNonDate="0" containsString="0" containsBlank="1"/>
    </cacheField>
    <cacheField name="NR_att_q_num x prop sig for Blacks (OxS)" numFmtId="0">
      <sharedItems containsSemiMixedTypes="0" containsString="0" containsNumber="1" containsInteger="1" minValue="1" maxValue="1"/>
    </cacheField>
    <cacheField name="NR_fact_q_num x prop sig for Blacks (PxT)" numFmtId="0">
      <sharedItems containsSemiMixedTypes="0" containsString="0" containsNumber="1" minValue="0" maxValue="8.93"/>
    </cacheField>
    <cacheField name="R_att_q_num x prop sig for Blacks (QxU)" numFmtId="0">
      <sharedItems containsSemiMixedTypes="0" containsString="0" containsNumber="1" minValue="0" maxValue="10.73"/>
    </cacheField>
    <cacheField name="R_fact_q_num x prop sig for Blacks (RxV)" numFmtId="0">
      <sharedItems containsSemiMixedTypes="0" containsString="0" containsNumber="1" minValue="0" maxValue="6.02"/>
    </cacheField>
    <cacheField name="NR_att_q_num x prop sig for Whites (WxAA)" numFmtId="0">
      <sharedItems containsSemiMixedTypes="0" containsString="0" containsNumber="1" minValue="0" maxValue="2"/>
    </cacheField>
    <cacheField name="NR_fact_q_num x prop sig for Whites (XxAB)" numFmtId="0">
      <sharedItems containsSemiMixedTypes="0" containsString="0" containsNumber="1" containsInteger="1" minValue="0" maxValue="1"/>
    </cacheField>
    <cacheField name="R_att_q_num x prop sig for Whites (YxAC)" numFmtId="0">
      <sharedItems containsSemiMixedTypes="0" containsString="0" containsNumber="1" minValue="0" maxValue="8.9699999999999989"/>
    </cacheField>
    <cacheField name="R_fact_q_num x prop sig for Whites (ZxAD)" numFmtId="0">
      <sharedItems containsSemiMixedTypes="0" containsString="0" containsNumber="1" containsInteger="1" minValue="0" maxValue="0"/>
    </cacheField>
    <cacheField name="NR_att_q_num x prop sig for Hispanics (AExAI)" numFmtId="0">
      <sharedItems containsSemiMixedTypes="0" containsString="0" containsNumber="1" containsInteger="1" minValue="0" maxValue="12"/>
    </cacheField>
    <cacheField name="NR_fact_q_num x prop sig for Hispanics (AFxAJ)" numFmtId="0">
      <sharedItems containsSemiMixedTypes="0" containsString="0" containsNumber="1" containsInteger="1" minValue="0" maxValue="0"/>
    </cacheField>
    <cacheField name="R_att_q_num x prop sig for Hispanics (AGxAK)" numFmtId="0">
      <sharedItems containsSemiMixedTypes="0" containsString="0" containsNumber="1" containsInteger="1" minValue="0" maxValue="6"/>
    </cacheField>
    <cacheField name="R_fact_q_num x prop sig for Hispanics (AHxAL)" numFmtId="0">
      <sharedItems containsSemiMixedTypes="0" containsString="0" containsNumber="1" minValue="0" maxValue="1.9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6012.407119212963" createdVersion="8" refreshedVersion="8" minRefreshableVersion="3" recordCount="32" xr:uid="{7262F9C7-4D4B-4698-B192-DF918D5613CE}">
  <cacheSource type="worksheet">
    <worksheetSource ref="A1:BW33" sheet="Bivariate results"/>
  </cacheSource>
  <cacheFields count="75">
    <cacheField name="Author(s)" numFmtId="0">
      <sharedItems/>
    </cacheField>
    <cacheField name="Pub Year" numFmtId="0">
      <sharedItems containsSemiMixedTypes="0" containsString="0" containsNumber="1" containsInteger="1" minValue="1954" maxValue="2019"/>
    </cacheField>
    <cacheField name="DC Year Coding" numFmtId="0">
      <sharedItems count="4">
        <s v="NA"/>
        <s v="2000-2012"/>
        <s v="1982-1999"/>
        <s v="1942-1979"/>
      </sharedItems>
    </cacheField>
    <cacheField name="ROR" numFmtId="0">
      <sharedItems count="7">
        <s v="Black"/>
        <s v="Black and White"/>
        <s v="White"/>
        <s v="Non-Hispanic White, Non-Hispanic Black and Hispanic"/>
        <s v="White or Mixed and Blacks"/>
        <s v="Mexican-American"/>
        <s v="Black, White and Hispanic"/>
      </sharedItems>
    </cacheField>
    <cacheField name="ROI" numFmtId="0">
      <sharedItems/>
    </cacheField>
    <cacheField name="Population" numFmtId="0">
      <sharedItems/>
    </cacheField>
    <cacheField name="New Population Coding" numFmtId="0">
      <sharedItems count="3">
        <s v="US"/>
        <s v="South"/>
        <s v="Non-south"/>
      </sharedItems>
    </cacheField>
    <cacheField name="National?" numFmtId="0">
      <sharedItems/>
    </cacheField>
    <cacheField name="Mode" numFmtId="0">
      <sharedItems count="2">
        <s v="F2F"/>
        <s v="telephone"/>
      </sharedItems>
    </cacheField>
    <cacheField name="AROI/_x000a_PROI" numFmtId="0">
      <sharedItems/>
    </cacheField>
    <cacheField name="Random Assignment" numFmtId="0">
      <sharedItems/>
    </cacheField>
    <cacheField name="Question Type" numFmtId="0">
      <sharedItems count="8">
        <s v="nonracial attitude, racial attitude"/>
        <s v="nonracial attitude"/>
        <s v="racial attitude"/>
        <s v="nonracial fact"/>
        <s v="nonracial attitude, nonracial fact"/>
        <s v="nonracial attitude, nonracial fact, racial attitude"/>
        <s v="racial attitude, racial fact"/>
        <s v="nonracial attitude, nonracial fact, racial attitude, racial fact "/>
      </sharedItems>
    </cacheField>
    <cacheField name="Multivariate Done" numFmtId="0">
      <sharedItems/>
    </cacheField>
    <cacheField name="Bivariate done" numFmtId="0">
      <sharedItems/>
    </cacheField>
    <cacheField name="# nonracial attitudes for Blacks" numFmtId="0">
      <sharedItems containsString="0" containsBlank="1" containsNumber="1" containsInteger="1" minValue="0" maxValue="29"/>
    </cacheField>
    <cacheField name="# nonracial facts for Blacks" numFmtId="0">
      <sharedItems containsString="0" containsBlank="1" containsNumber="1" containsInteger="1" minValue="0" maxValue="47"/>
    </cacheField>
    <cacheField name="# racial attitudes for Blacks" numFmtId="0">
      <sharedItems containsString="0" containsBlank="1" containsNumber="1" containsInteger="1" minValue="0" maxValue="40"/>
    </cacheField>
    <cacheField name="# racial facts for Blacks" numFmtId="0">
      <sharedItems containsString="0" containsBlank="1" containsNumber="1" containsInteger="1" minValue="0" maxValue="14"/>
    </cacheField>
    <cacheField name="% sig nonracial attitudes for Blacks" numFmtId="0">
      <sharedItems containsString="0" containsBlank="1" containsNumber="1" minValue="0" maxValue="1"/>
    </cacheField>
    <cacheField name="% sig nonracial facts for Blacks" numFmtId="0">
      <sharedItems containsString="0" containsBlank="1" containsNumber="1" minValue="0" maxValue="1"/>
    </cacheField>
    <cacheField name="% sig racial attitudes for Blacks" numFmtId="0">
      <sharedItems containsString="0" containsBlank="1" containsNumber="1" minValue="0" maxValue="1"/>
    </cacheField>
    <cacheField name="% sig racial facts for Blacks" numFmtId="0">
      <sharedItems containsString="0" containsBlank="1" containsNumber="1" minValue="0.43" maxValue="1"/>
    </cacheField>
    <cacheField name="# nonracial attitudes for Whites" numFmtId="0">
      <sharedItems containsString="0" containsBlank="1" containsNumber="1" containsInteger="1" minValue="0" maxValue="21"/>
    </cacheField>
    <cacheField name="# nonracial facts for Whites" numFmtId="0">
      <sharedItems containsString="0" containsBlank="1" containsNumber="1" containsInteger="1" minValue="0" maxValue="1"/>
    </cacheField>
    <cacheField name="# racial attitudes for Whites" numFmtId="0">
      <sharedItems containsString="0" containsBlank="1" containsNumber="1" containsInteger="1" minValue="0" maxValue="18"/>
    </cacheField>
    <cacheField name="# racial facts for Whites" numFmtId="0">
      <sharedItems containsString="0" containsBlank="1" containsNumber="1" containsInteger="1" minValue="0" maxValue="0"/>
    </cacheField>
    <cacheField name="% sig nonracial attitudes for Whites" numFmtId="0">
      <sharedItems containsString="0" containsBlank="1" containsNumber="1" minValue="0" maxValue="1"/>
    </cacheField>
    <cacheField name="% sig nonracial facts for Whites" numFmtId="0">
      <sharedItems containsString="0" containsBlank="1" containsNumber="1" containsInteger="1" minValue="0" maxValue="1"/>
    </cacheField>
    <cacheField name="% sig racial attitudes for Whites" numFmtId="0">
      <sharedItems containsString="0" containsBlank="1" containsNumber="1" minValue="0" maxValue="1"/>
    </cacheField>
    <cacheField name="% sig racial facts for Whites" numFmtId="0">
      <sharedItems containsNonDate="0" containsString="0" containsBlank="1"/>
    </cacheField>
    <cacheField name="# nonracial attitudes for Hispanics" numFmtId="0">
      <sharedItems containsString="0" containsBlank="1" containsNumber="1" containsInteger="1" minValue="0" maxValue="12"/>
    </cacheField>
    <cacheField name="# nonracial facts for Hispanics" numFmtId="0">
      <sharedItems containsString="0" containsBlank="1" containsNumber="1" containsInteger="1" minValue="0" maxValue="0"/>
    </cacheField>
    <cacheField name="# racial attitudes for Hispanics" numFmtId="0">
      <sharedItems containsString="0" containsBlank="1" containsNumber="1" containsInteger="1" minValue="0" maxValue="7"/>
    </cacheField>
    <cacheField name="# racial facts for Hispanics" numFmtId="0">
      <sharedItems containsString="0" containsBlank="1" containsNumber="1" containsInteger="1" minValue="0" maxValue="6"/>
    </cacheField>
    <cacheField name="% sig nonracial attitudes for Hispanics" numFmtId="0">
      <sharedItems containsString="0" containsBlank="1" containsNumber="1" containsInteger="1" minValue="1" maxValue="1"/>
    </cacheField>
    <cacheField name="% sig nonracial facts for Hispanics" numFmtId="0">
      <sharedItems containsNonDate="0" containsString="0" containsBlank="1"/>
    </cacheField>
    <cacheField name="% sig racial attitudes for Hispanics" numFmtId="0">
      <sharedItems containsString="0" containsBlank="1" containsNumber="1" containsInteger="1" minValue="0" maxValue="1"/>
    </cacheField>
    <cacheField name="%sig racial facts for Hispanics" numFmtId="0">
      <sharedItems containsString="0" containsBlank="1" containsNumber="1" minValue="0.33" maxValue="0.33"/>
    </cacheField>
    <cacheField name="Proper Analysis" numFmtId="0">
      <sharedItems/>
    </cacheField>
    <cacheField name="analyzed subset of/full questionnaire" numFmtId="0">
      <sharedItems/>
    </cacheField>
    <cacheField name="full_questionnaire_analyzed?" numFmtId="0">
      <sharedItems/>
    </cacheField>
    <cacheField name="reports response rates by I race" numFmtId="0">
      <sharedItems/>
    </cacheField>
    <cacheField name="#Is reported in particular race (&gt;=3)" numFmtId="0">
      <sharedItems/>
    </cacheField>
    <cacheField name="confounding of race and language" numFmtId="0">
      <sharedItems containsBlank="1"/>
    </cacheField>
    <cacheField name="pub year dichotomy" numFmtId="0">
      <sharedItems/>
    </cacheField>
    <cacheField name="pub year trichotomy" numFmtId="0">
      <sharedItems/>
    </cacheField>
    <cacheField name="#papers cited" numFmtId="0">
      <sharedItems containsSemiMixedTypes="0" containsString="0" containsNumber="1" containsInteger="1" minValue="0" maxValue="19"/>
    </cacheField>
    <cacheField name="#quality conditions met" numFmtId="0">
      <sharedItems containsSemiMixedTypes="0" containsString="0" containsNumber="1" containsInteger="1" minValue="0" maxValue="4"/>
    </cacheField>
    <cacheField name="DC year coding 11_3" numFmtId="0">
      <sharedItems containsNonDate="0" containsString="0" containsBlank="1"/>
    </cacheField>
    <cacheField name="NR_att_q_num x prop sig for Blacks (OxS)" numFmtId="0">
      <sharedItems containsSemiMixedTypes="0" containsString="0" containsNumber="1" containsInteger="1" minValue="1" maxValue="1"/>
    </cacheField>
    <cacheField name="NR_fact_q_num x prop sig for Blacks (PxT)" numFmtId="0">
      <sharedItems containsSemiMixedTypes="0" containsString="0" containsNumber="1" minValue="0" maxValue="8.93"/>
    </cacheField>
    <cacheField name="R_att_q_num x prop sig for Blacks (QxU)" numFmtId="0">
      <sharedItems containsSemiMixedTypes="0" containsString="0" containsNumber="1" minValue="0" maxValue="10.73"/>
    </cacheField>
    <cacheField name="R_fact_q_num x prop sig for Blacks (RxV)" numFmtId="0">
      <sharedItems containsSemiMixedTypes="0" containsString="0" containsNumber="1" minValue="0" maxValue="6.02"/>
    </cacheField>
    <cacheField name="NR_att_q_num x prop sig for Whites (WxAA)" numFmtId="0">
      <sharedItems containsSemiMixedTypes="0" containsString="0" containsNumber="1" minValue="0" maxValue="2"/>
    </cacheField>
    <cacheField name="NR_fact_q_num x prop sig for Whites (XxAB)" numFmtId="0">
      <sharedItems containsSemiMixedTypes="0" containsString="0" containsNumber="1" containsInteger="1" minValue="0" maxValue="1"/>
    </cacheField>
    <cacheField name="R_att_q_num x prop sig for Whites (YxAC)" numFmtId="0">
      <sharedItems containsSemiMixedTypes="0" containsString="0" containsNumber="1" minValue="0" maxValue="8.9699999999999989"/>
    </cacheField>
    <cacheField name="R_fact_q_num x prop sig for Whites (ZxAD)" numFmtId="0">
      <sharedItems containsSemiMixedTypes="0" containsString="0" containsNumber="1" containsInteger="1" minValue="0" maxValue="0"/>
    </cacheField>
    <cacheField name="NR_att_q_num x prop sig for Hispanics (AExAI)" numFmtId="0">
      <sharedItems containsSemiMixedTypes="0" containsString="0" containsNumber="1" containsInteger="1" minValue="0" maxValue="12"/>
    </cacheField>
    <cacheField name="NR_fact_q_num x prop sig for Hispanics (AFxAJ)" numFmtId="0">
      <sharedItems containsSemiMixedTypes="0" containsString="0" containsNumber="1" containsInteger="1" minValue="0" maxValue="0"/>
    </cacheField>
    <cacheField name="R_att_q_num x prop sig for Hispanics (AGxAK)" numFmtId="0">
      <sharedItems containsSemiMixedTypes="0" containsString="0" containsNumber="1" containsInteger="1" minValue="0" maxValue="6"/>
    </cacheField>
    <cacheField name="R_fact_q_num x prop sig for Hispanics (AHxAL)" numFmtId="0">
      <sharedItems containsSemiMixedTypes="0" containsString="0" containsNumber="1" minValue="0" maxValue="1.98"/>
    </cacheField>
    <cacheField name="sm1" numFmtId="0">
      <sharedItems containsString="0" containsBlank="1" containsNumber="1" containsInteger="1" minValue="0" maxValue="2"/>
    </cacheField>
    <cacheField name="sm2" numFmtId="0">
      <sharedItems containsString="0" containsBlank="1" containsNumber="1" containsInteger="1" minValue="0" maxValue="3"/>
    </cacheField>
    <cacheField name="total # questions" numFmtId="0">
      <sharedItems containsSemiMixedTypes="0" containsString="0" containsNumber="1" containsInteger="1" minValue="0" maxValue="130"/>
    </cacheField>
    <cacheField name="total #sig questions" numFmtId="0">
      <sharedItems containsSemiMixedTypes="0" containsString="0" containsNumber="1" containsInteger="1" minValue="1" maxValue="27"/>
    </cacheField>
    <cacheField name="total %sig item" numFmtId="0">
      <sharedItems containsMixedTypes="1" containsNumber="1" minValue="4.7619047619047616E-2" maxValue="2"/>
    </cacheField>
    <cacheField name="total%sig blacks" numFmtId="0">
      <sharedItems containsMixedTypes="1" containsNumber="1" minValue="4.7619047619047616E-2" maxValue="2"/>
    </cacheField>
    <cacheField name="total%sig whites" numFmtId="0">
      <sharedItems containsMixedTypes="1" containsNumber="1" minValue="0" maxValue="1"/>
    </cacheField>
    <cacheField name="total%sig hispanics" numFmtId="0">
      <sharedItems containsMixedTypes="1" containsNumber="1" minValue="0.15230769230769231" maxValue="1"/>
    </cacheField>
    <cacheField name="ROR_Black" numFmtId="0">
      <sharedItems/>
    </cacheField>
    <cacheField name="ROR_White" numFmtId="0">
      <sharedItems/>
    </cacheField>
    <cacheField name="ROR_Hispanic" numFmtId="0">
      <sharedItems/>
    </cacheField>
    <cacheField name="Multivariate Done for all items or not" numFmtId="0">
      <sharedItems/>
    </cacheField>
    <cacheField name="Included other I-level characteristics" numFmtId="0">
      <sharedItems/>
    </cacheField>
    <cacheField name="Which I characteristics includ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Anderson, Silver, and Abramson (attitudes)"/>
    <n v="1988"/>
    <s v="NA"/>
    <x v="0"/>
    <s v="Black and White"/>
    <s v="United States"/>
    <s v="US"/>
    <s v="Y"/>
    <x v="0"/>
    <s v="AROI"/>
    <s v="N"/>
    <s v="nonracial attitude, racial attitude"/>
    <x v="0"/>
    <x v="0"/>
    <n v="0"/>
    <n v="0"/>
    <n v="5"/>
    <n v="0"/>
    <s v="NA"/>
    <s v="NA"/>
    <n v="0.6"/>
    <s v="NA"/>
    <m/>
    <m/>
    <m/>
    <m/>
    <m/>
    <m/>
    <m/>
    <m/>
    <m/>
    <m/>
    <m/>
    <m/>
    <m/>
    <m/>
    <m/>
    <m/>
    <s v="N"/>
    <s v="subset"/>
    <s v="N"/>
    <s v="Y"/>
    <s v="N"/>
    <s v="1985 and after"/>
    <s v="1980-2000"/>
    <n v="2"/>
    <n v="2"/>
    <s v="for 5 out of 8 racial qs"/>
  </r>
  <r>
    <s v="Anderson, Silver, and Abramson (voting)"/>
    <n v="1988"/>
    <s v="NA"/>
    <x v="0"/>
    <s v="Black and White"/>
    <s v="United States"/>
    <s v="US"/>
    <s v="Y"/>
    <x v="0"/>
    <s v="AROI"/>
    <s v="N"/>
    <s v="nonracial attitude"/>
    <x v="0"/>
    <x v="0"/>
    <n v="6"/>
    <n v="0"/>
    <n v="0"/>
    <n v="0"/>
    <n v="0.83"/>
    <s v="NA"/>
    <s v="NA"/>
    <s v="NA"/>
    <m/>
    <m/>
    <m/>
    <m/>
    <m/>
    <m/>
    <m/>
    <m/>
    <m/>
    <m/>
    <m/>
    <m/>
    <m/>
    <m/>
    <m/>
    <m/>
    <s v="N"/>
    <s v="subset"/>
    <s v="N"/>
    <s v="Y"/>
    <s v="N"/>
    <s v="1985 and after"/>
    <s v="1980-2000"/>
    <n v="2"/>
    <n v="2"/>
    <s v="All"/>
  </r>
  <r>
    <s v="Belk, Huffmon, and Lawrence"/>
    <n v="2013"/>
    <s v="2000-2012"/>
    <x v="0"/>
    <s v="Black and White"/>
    <s v="11 southern states"/>
    <s v="South"/>
    <s v="N"/>
    <x v="1"/>
    <s v="AROI"/>
    <s v="Y"/>
    <s v="nonracial attitude, racial attitude"/>
    <x v="0"/>
    <x v="1"/>
    <n v="7"/>
    <n v="0"/>
    <n v="6"/>
    <n v="0"/>
    <n v="0"/>
    <s v="NA"/>
    <n v="0.83"/>
    <s v="NA"/>
    <m/>
    <m/>
    <m/>
    <m/>
    <m/>
    <m/>
    <m/>
    <m/>
    <m/>
    <m/>
    <m/>
    <m/>
    <m/>
    <m/>
    <m/>
    <m/>
    <s v="N"/>
    <s v="subset"/>
    <s v="N"/>
    <s v="Y"/>
    <s v="N"/>
    <s v="1985 and after"/>
    <s v="2000-2016"/>
    <n v="11"/>
    <n v="3"/>
    <s v="All"/>
  </r>
  <r>
    <s v="Cody, Davis, and Wilson"/>
    <n v="2010"/>
    <s v="1982-1999"/>
    <x v="0"/>
    <s v="Black and White"/>
    <s v="United States"/>
    <s v="US"/>
    <s v="Y"/>
    <x v="1"/>
    <s v="AROI"/>
    <s v="Y"/>
    <s v="racial attitude"/>
    <x v="0"/>
    <x v="0"/>
    <n v="0"/>
    <n v="0"/>
    <n v="5"/>
    <n v="0"/>
    <s v="NA"/>
    <s v="NA"/>
    <n v="0.8"/>
    <s v="NA"/>
    <m/>
    <m/>
    <m/>
    <m/>
    <m/>
    <m/>
    <m/>
    <m/>
    <m/>
    <m/>
    <m/>
    <m/>
    <m/>
    <m/>
    <m/>
    <m/>
    <s v="Y"/>
    <s v="subset"/>
    <s v="Y"/>
    <s v="Y"/>
    <s v="N"/>
    <s v="1985 and after"/>
    <s v="2000-2016"/>
    <n v="6"/>
    <n v="5"/>
    <s v="for 5 out of 10"/>
  </r>
  <r>
    <s v="Cotter, Cohen, and Coulter"/>
    <n v="1982"/>
    <s v="1982-1999"/>
    <x v="1"/>
    <s v="Black and White"/>
    <s v="Alabama"/>
    <s v="South"/>
    <s v="N"/>
    <x v="1"/>
    <s v="AROI"/>
    <s v="Y"/>
    <s v="nonracial attitude, racial attitude"/>
    <x v="1"/>
    <x v="0"/>
    <n v="10"/>
    <n v="0"/>
    <n v="13"/>
    <n v="0"/>
    <n v="0"/>
    <s v="NA"/>
    <n v="0.08"/>
    <s v="NA"/>
    <n v="10"/>
    <n v="0"/>
    <n v="13"/>
    <n v="0"/>
    <n v="0"/>
    <s v="NA"/>
    <n v="0.69"/>
    <s v="NA"/>
    <m/>
    <m/>
    <m/>
    <m/>
    <m/>
    <m/>
    <m/>
    <m/>
    <s v="N"/>
    <s v="entire survey"/>
    <s v="N"/>
    <s v="Y"/>
    <s v="N"/>
    <s v="before 1985"/>
    <s v="1980-2000"/>
    <n v="2"/>
    <n v="3"/>
    <s v="NA"/>
  </r>
  <r>
    <s v="Davis (direction)"/>
    <n v="1997"/>
    <s v="1982-1999"/>
    <x v="0"/>
    <s v="Black and White"/>
    <s v="United States"/>
    <s v="US"/>
    <s v="Y"/>
    <x v="1"/>
    <s v="AROI"/>
    <s v="Y"/>
    <s v="racial attitude"/>
    <x v="1"/>
    <x v="0"/>
    <n v="0"/>
    <n v="0"/>
    <n v="6"/>
    <n v="0"/>
    <s v="NA"/>
    <s v="NA"/>
    <n v="1"/>
    <s v="NA"/>
    <m/>
    <m/>
    <m/>
    <m/>
    <m/>
    <m/>
    <m/>
    <m/>
    <m/>
    <m/>
    <m/>
    <m/>
    <m/>
    <m/>
    <m/>
    <m/>
    <s v="N"/>
    <s v="subset"/>
    <s v="N"/>
    <s v="N"/>
    <s v="N"/>
    <s v="1985 and after"/>
    <s v="1980-2000"/>
    <n v="9"/>
    <n v="2"/>
    <s v="NA"/>
  </r>
  <r>
    <s v="Davis (nonrandom)"/>
    <n v="1997"/>
    <s v="1982-1999"/>
    <x v="0"/>
    <s v="Black and White"/>
    <s v="United States"/>
    <s v="US"/>
    <s v="Y"/>
    <x v="1"/>
    <s v="AROI"/>
    <s v="Y"/>
    <s v="racial attitude"/>
    <x v="0"/>
    <x v="1"/>
    <n v="0"/>
    <n v="0"/>
    <n v="10"/>
    <n v="0"/>
    <s v="NA"/>
    <s v="NA"/>
    <n v="0.9"/>
    <s v="NA"/>
    <m/>
    <m/>
    <m/>
    <m/>
    <m/>
    <m/>
    <m/>
    <m/>
    <m/>
    <m/>
    <m/>
    <m/>
    <m/>
    <m/>
    <m/>
    <m/>
    <s v="N"/>
    <s v="subset"/>
    <s v="N"/>
    <s v="N"/>
    <s v="N"/>
    <s v="1985 and after"/>
    <s v="1980-2000"/>
    <n v="10"/>
    <n v="2"/>
    <s v="All"/>
  </r>
  <r>
    <s v="Davis and Silver"/>
    <n v="2003"/>
    <s v="2000-2012"/>
    <x v="1"/>
    <s v="Black and White"/>
    <s v="Michigan"/>
    <s v="Non-south"/>
    <s v="N"/>
    <x v="1"/>
    <s v="AROI"/>
    <s v="Y"/>
    <s v="nonracial fact"/>
    <x v="1"/>
    <x v="0"/>
    <n v="0"/>
    <n v="1"/>
    <n v="0"/>
    <n v="0"/>
    <s v="NA"/>
    <n v="0"/>
    <s v="NA"/>
    <s v="NA"/>
    <n v="0"/>
    <n v="1"/>
    <n v="0"/>
    <n v="0"/>
    <s v="NA"/>
    <n v="0"/>
    <s v="NA"/>
    <s v="NA"/>
    <m/>
    <m/>
    <m/>
    <m/>
    <m/>
    <m/>
    <m/>
    <m/>
    <s v="N"/>
    <s v="subset"/>
    <s v="Y"/>
    <s v="N"/>
    <s v="N"/>
    <s v="1985 and after"/>
    <s v="2000-2016"/>
    <n v="5"/>
    <n v="3"/>
    <s v="All"/>
  </r>
  <r>
    <s v="Finkel, Guterbock, and Borg"/>
    <n v="1991"/>
    <s v="1982-1999"/>
    <x v="2"/>
    <s v="Black and White"/>
    <s v="Virginia"/>
    <s v="South"/>
    <s v="N"/>
    <x v="1"/>
    <s v="AROI"/>
    <s v="Y"/>
    <s v="racial attitude"/>
    <x v="0"/>
    <x v="0"/>
    <m/>
    <m/>
    <m/>
    <m/>
    <m/>
    <m/>
    <m/>
    <m/>
    <n v="0"/>
    <n v="0"/>
    <n v="2"/>
    <n v="0"/>
    <s v="NA"/>
    <s v="NA"/>
    <n v="1"/>
    <s v="NA"/>
    <m/>
    <m/>
    <m/>
    <m/>
    <m/>
    <m/>
    <m/>
    <m/>
    <s v="N"/>
    <s v="subset"/>
    <s v="N"/>
    <s v="N"/>
    <s v="N"/>
    <s v="1985 and after"/>
    <s v="1980-2000"/>
    <n v="6"/>
    <n v="2"/>
    <s v="All"/>
  </r>
  <r>
    <s v="Hatchett and Schuman"/>
    <n v="1975"/>
    <s v="1942-1979"/>
    <x v="2"/>
    <s v="Black and White"/>
    <s v="Detroit"/>
    <s v="Non-south"/>
    <s v="N"/>
    <x v="0"/>
    <s v="AROI"/>
    <s v="Y"/>
    <s v="racial attitude"/>
    <x v="0"/>
    <x v="0"/>
    <m/>
    <m/>
    <m/>
    <m/>
    <m/>
    <m/>
    <m/>
    <m/>
    <n v="0"/>
    <n v="0"/>
    <n v="1"/>
    <n v="0"/>
    <s v="NA"/>
    <s v="NA"/>
    <n v="1"/>
    <s v="NA"/>
    <m/>
    <m/>
    <m/>
    <m/>
    <m/>
    <m/>
    <m/>
    <m/>
    <s v="N"/>
    <s v="subset"/>
    <s v="N"/>
    <s v="Y"/>
    <s v="N"/>
    <s v="before 1985"/>
    <s v="before 1980"/>
    <n v="2"/>
    <n v="3"/>
    <s v="1 summed index"/>
  </r>
  <r>
    <s v="Holbrook et al."/>
    <n v="2019"/>
    <s v="2000-2012"/>
    <x v="3"/>
    <s v="Non-Hispanic White, Non-Hispanic Black and Hispanic"/>
    <s v="Chicago"/>
    <s v="Non-south"/>
    <s v="N"/>
    <x v="1"/>
    <s v="AROI"/>
    <s v="Y"/>
    <s v="racial attitude"/>
    <x v="0"/>
    <x v="1"/>
    <n v="0"/>
    <n v="0"/>
    <n v="5"/>
    <n v="0"/>
    <s v="NA"/>
    <s v="NA"/>
    <n v="0.4"/>
    <s v="NA"/>
    <n v="0"/>
    <n v="0"/>
    <n v="5"/>
    <n v="0"/>
    <s v="NA"/>
    <s v="NA"/>
    <n v="0"/>
    <s v="NA"/>
    <n v="0"/>
    <n v="0"/>
    <n v="5"/>
    <n v="0"/>
    <s v="NA"/>
    <s v="NA"/>
    <n v="0.4"/>
    <s v="NA"/>
    <s v="Y"/>
    <s v="subset"/>
    <s v="Y"/>
    <s v="Y"/>
    <s v="N"/>
    <s v="1985 and after"/>
    <s v="2000-2016"/>
    <n v="19"/>
    <n v="5"/>
    <s v="All"/>
  </r>
  <r>
    <s v="Huang"/>
    <n v="2009"/>
    <s v="1982-1999"/>
    <x v="1"/>
    <s v="Black and White"/>
    <s v="United States"/>
    <s v="US"/>
    <s v="Y"/>
    <x v="0"/>
    <s v="AROI"/>
    <s v="N"/>
    <s v="nonracial fact"/>
    <x v="0"/>
    <x v="1"/>
    <n v="0"/>
    <n v="1"/>
    <n v="0"/>
    <n v="0"/>
    <s v="NA"/>
    <n v="1"/>
    <s v="NA"/>
    <s v="NA"/>
    <n v="0"/>
    <n v="1"/>
    <n v="0"/>
    <n v="0"/>
    <s v="NA"/>
    <n v="1"/>
    <s v="NA"/>
    <s v="NA"/>
    <m/>
    <m/>
    <m/>
    <m/>
    <m/>
    <m/>
    <m/>
    <m/>
    <s v="Y"/>
    <s v="subset"/>
    <s v="N"/>
    <s v="Y"/>
    <s v="N"/>
    <s v="1985 and after"/>
    <s v="2000-2016"/>
    <n v="3"/>
    <n v="3"/>
    <s v="All"/>
  </r>
  <r>
    <s v="Hutcheson, Prather, and Snow"/>
    <n v="1979"/>
    <s v="1942-1979"/>
    <x v="1"/>
    <s v="Black and White"/>
    <s v="large SMSA"/>
    <s v="South"/>
    <s v="N"/>
    <x v="0"/>
    <s v="AROI"/>
    <s v="N"/>
    <s v="nonracial attitude, nonracial fact"/>
    <x v="1"/>
    <x v="0"/>
    <n v="2"/>
    <n v="1"/>
    <n v="0"/>
    <n v="0"/>
    <n v="1"/>
    <n v="1"/>
    <s v="NA"/>
    <s v="NA"/>
    <n v="2"/>
    <n v="1"/>
    <n v="0"/>
    <n v="0"/>
    <n v="1"/>
    <n v="1"/>
    <s v="NA"/>
    <s v="NA"/>
    <m/>
    <m/>
    <m/>
    <m/>
    <m/>
    <m/>
    <m/>
    <m/>
    <s v="N"/>
    <s v="subset"/>
    <s v="N"/>
    <s v="Y"/>
    <s v="N"/>
    <s v="before 1985"/>
    <s v="before 1980"/>
    <n v="4"/>
    <n v="2"/>
    <s v="NA"/>
  </r>
  <r>
    <s v="Hyman"/>
    <n v="1954"/>
    <s v="1942-1979"/>
    <x v="0"/>
    <s v="Black and White"/>
    <s v="Memphis"/>
    <s v="South"/>
    <s v="N"/>
    <x v="0"/>
    <s v="AROI"/>
    <s v="Y"/>
    <s v="racial attitude"/>
    <x v="1"/>
    <x v="0"/>
    <m/>
    <m/>
    <m/>
    <m/>
    <m/>
    <m/>
    <m/>
    <m/>
    <m/>
    <m/>
    <m/>
    <m/>
    <m/>
    <m/>
    <m/>
    <m/>
    <m/>
    <m/>
    <m/>
    <m/>
    <m/>
    <m/>
    <m/>
    <m/>
    <s v="N"/>
    <s v="uncertain"/>
    <s v="N"/>
    <s v="N"/>
    <s v="N"/>
    <s v="before 1985"/>
    <s v="before 1980"/>
    <n v="0"/>
    <n v="2"/>
    <s v="NA"/>
  </r>
  <r>
    <s v="Keeter"/>
    <n v="1990"/>
    <s v="1982-1999"/>
    <x v="1"/>
    <s v="Black and White"/>
    <s v="Virginia"/>
    <s v="South"/>
    <s v="N"/>
    <x v="1"/>
    <s v="AROI"/>
    <s v="N"/>
    <s v="racial attitude"/>
    <x v="1"/>
    <x v="0"/>
    <n v="0"/>
    <n v="0"/>
    <n v="1"/>
    <n v="0"/>
    <s v="NA"/>
    <s v="NA"/>
    <n v="1"/>
    <s v="NA"/>
    <n v="0"/>
    <n v="0"/>
    <n v="1"/>
    <n v="0"/>
    <s v="NA"/>
    <s v="NA"/>
    <n v="1"/>
    <s v="NA"/>
    <m/>
    <m/>
    <m/>
    <m/>
    <m/>
    <m/>
    <m/>
    <m/>
    <s v="N"/>
    <s v="uncertain"/>
    <s v="N"/>
    <s v="N"/>
    <s v="N"/>
    <s v="1985 and after"/>
    <s v="1980-2000"/>
    <n v="4"/>
    <n v="1"/>
    <s v="NA"/>
  </r>
  <r>
    <s v="Lind, Oldendick, Hall, Rose, and Shealy"/>
    <n v="2001"/>
    <s v="2000-2012"/>
    <x v="1"/>
    <s v="Black and White"/>
    <s v="South Carolina"/>
    <s v="South"/>
    <s v="N"/>
    <x v="1"/>
    <s v="AROI"/>
    <s v="N"/>
    <s v="racial attitude"/>
    <x v="1"/>
    <x v="0"/>
    <n v="0"/>
    <n v="0"/>
    <n v="1"/>
    <n v="0"/>
    <s v="NA"/>
    <s v="NA"/>
    <n v="0"/>
    <s v="NA"/>
    <n v="0"/>
    <n v="0"/>
    <n v="1"/>
    <n v="0"/>
    <s v="NA"/>
    <s v="NA"/>
    <n v="0"/>
    <s v="NA"/>
    <m/>
    <m/>
    <m/>
    <m/>
    <m/>
    <m/>
    <m/>
    <m/>
    <s v="N"/>
    <s v="subset"/>
    <s v="N"/>
    <s v="N"/>
    <s v="N"/>
    <s v="1985 and after"/>
    <s v="2000-2016"/>
    <n v="4"/>
    <n v="1"/>
    <s v="NA"/>
  </r>
  <r>
    <s v="Link and Oldendick"/>
    <n v="1998"/>
    <s v="1982-1999"/>
    <x v="1"/>
    <s v="Black and White"/>
    <s v="southern state"/>
    <s v="South"/>
    <s v="N"/>
    <x v="1"/>
    <s v="AROI"/>
    <s v="N"/>
    <s v="nonracial attitude, racial attitude"/>
    <x v="0"/>
    <x v="0"/>
    <n v="2"/>
    <n v="0"/>
    <n v="1"/>
    <n v="0"/>
    <n v="0"/>
    <s v="NA"/>
    <n v="0"/>
    <s v="NA"/>
    <n v="2"/>
    <n v="0"/>
    <n v="1"/>
    <n v="0"/>
    <n v="0"/>
    <s v="NA"/>
    <n v="1"/>
    <s v="NA"/>
    <m/>
    <m/>
    <m/>
    <m/>
    <m/>
    <m/>
    <m/>
    <m/>
    <s v="N"/>
    <s v="subset"/>
    <s v="N"/>
    <s v="N"/>
    <s v="N"/>
    <s v="1985 and after"/>
    <s v="1980-2000"/>
    <n v="5"/>
    <n v="1"/>
    <s v="All"/>
  </r>
  <r>
    <s v="Liu and Wang"/>
    <n v="2016"/>
    <s v="2000-2012"/>
    <x v="3"/>
    <s v="Non-Hispanic White, Non-Hispanic Black and Hispanic"/>
    <s v="United States"/>
    <s v="US"/>
    <s v="Y"/>
    <x v="0"/>
    <s v="AROI"/>
    <s v="N"/>
    <s v="racial attitude"/>
    <x v="0"/>
    <x v="0"/>
    <n v="0"/>
    <n v="0"/>
    <n v="6"/>
    <n v="0"/>
    <s v="NA"/>
    <s v="NA"/>
    <n v="0.33"/>
    <s v="NA"/>
    <n v="0"/>
    <n v="0"/>
    <n v="6"/>
    <n v="0"/>
    <m/>
    <m/>
    <m/>
    <m/>
    <n v="0"/>
    <n v="0"/>
    <n v="6"/>
    <n v="0"/>
    <s v="NA"/>
    <s v="NA"/>
    <n v="0.17"/>
    <s v="NA"/>
    <s v="Y"/>
    <s v="subset"/>
    <s v="N"/>
    <s v="N"/>
    <s v="N"/>
    <s v="1985 and after"/>
    <s v="2000-2016"/>
    <n v="8"/>
    <n v="2"/>
    <s v="All"/>
  </r>
  <r>
    <s v="Livert, Kadushin, Schulman, and Weiss"/>
    <n v="1998"/>
    <s v="1982-1999"/>
    <x v="4"/>
    <s v="Black and White"/>
    <s v="urban areas"/>
    <s v="South"/>
    <s v="N"/>
    <x v="1"/>
    <s v="AROI"/>
    <s v="Y"/>
    <s v="nonracial attitude"/>
    <x v="1"/>
    <x v="0"/>
    <n v="21"/>
    <n v="0"/>
    <n v="0"/>
    <n v="0"/>
    <n v="0.47599999999999998"/>
    <s v="NA"/>
    <s v="NA"/>
    <s v="NA"/>
    <n v="21"/>
    <n v="0"/>
    <n v="0"/>
    <n v="0"/>
    <n v="4.8000000000000001E-2"/>
    <s v="NA"/>
    <s v="NA"/>
    <s v="NA"/>
    <n v="21"/>
    <n v="0"/>
    <n v="0"/>
    <n v="0"/>
    <n v="0.33"/>
    <s v="NA"/>
    <s v="NA"/>
    <s v="NA"/>
    <s v="Y"/>
    <s v="subset"/>
    <s v="N"/>
    <s v="Y"/>
    <s v="N"/>
    <s v="1985 and after"/>
    <s v="1980-2000"/>
    <n v="6"/>
    <n v="4"/>
    <s v="All"/>
  </r>
  <r>
    <s v="Nienstadt"/>
    <n v="2009"/>
    <s v="2000-2012"/>
    <x v="5"/>
    <s v="White or Mixed and Blacks"/>
    <s v="11 states"/>
    <s v="US"/>
    <s v="N"/>
    <x v="1"/>
    <s v="AROI"/>
    <s v="N"/>
    <s v="racial attitude"/>
    <x v="1"/>
    <x v="0"/>
    <n v="0"/>
    <n v="0"/>
    <n v="2"/>
    <n v="0"/>
    <s v="NA"/>
    <s v="NA"/>
    <n v="0.5"/>
    <s v="NA"/>
    <n v="0"/>
    <n v="0"/>
    <n v="2"/>
    <n v="0"/>
    <s v="NA"/>
    <s v="NA"/>
    <n v="0.5"/>
    <s v="NA"/>
    <m/>
    <m/>
    <m/>
    <m/>
    <m/>
    <m/>
    <m/>
    <m/>
    <s v="N"/>
    <s v="subset"/>
    <s v="Y"/>
    <s v="Y"/>
    <s v="N"/>
    <s v="1985 and after"/>
    <s v="2000-2016"/>
    <n v="5"/>
    <n v="3"/>
    <s v="NA"/>
  </r>
  <r>
    <s v="Price and Searles"/>
    <n v="1961"/>
    <s v="1942-1979"/>
    <x v="0"/>
    <s v="Black and White"/>
    <s v="North Carolina"/>
    <s v="South"/>
    <s v="N"/>
    <x v="0"/>
    <s v="AROI"/>
    <s v="N"/>
    <s v="racial attitude, nonracial attitude, nonracial fact"/>
    <x v="0"/>
    <x v="0"/>
    <n v="3"/>
    <n v="0"/>
    <n v="2"/>
    <n v="0"/>
    <n v="0.66"/>
    <s v="NA"/>
    <n v="0"/>
    <s v="NA"/>
    <m/>
    <m/>
    <m/>
    <m/>
    <m/>
    <m/>
    <m/>
    <m/>
    <m/>
    <m/>
    <m/>
    <m/>
    <m/>
    <m/>
    <m/>
    <m/>
    <s v="N"/>
    <s v="uncertain"/>
    <s v="N"/>
    <s v="Y"/>
    <s v="N"/>
    <s v="before 1985"/>
    <s v="before 1980"/>
    <n v="1"/>
    <n v="2"/>
    <s v="5 out of 10"/>
  </r>
  <r>
    <s v="Reese, Danielson, Shoemaker, Chang, and Hsu"/>
    <n v="1986"/>
    <s v="1982-1999"/>
    <x v="6"/>
    <s v="Hispanic and Anglo"/>
    <s v="Texas"/>
    <s v="South"/>
    <s v="N"/>
    <x v="1"/>
    <s v="AROI"/>
    <s v="Y"/>
    <s v="racial attitude, racial fact"/>
    <x v="1"/>
    <x v="0"/>
    <m/>
    <m/>
    <m/>
    <m/>
    <m/>
    <m/>
    <m/>
    <m/>
    <m/>
    <m/>
    <m/>
    <m/>
    <m/>
    <m/>
    <m/>
    <m/>
    <n v="0"/>
    <n v="0"/>
    <n v="7"/>
    <n v="6"/>
    <s v="NA"/>
    <s v="NA"/>
    <n v="0"/>
    <n v="0.33"/>
    <s v="Y"/>
    <s v="entire survey"/>
    <s v="N"/>
    <s v="N"/>
    <s v="N"/>
    <s v="1985 and after"/>
    <s v="1980-2000"/>
    <n v="5"/>
    <n v="3"/>
    <s v="NA"/>
  </r>
  <r>
    <s v="Savage"/>
    <n v="2016"/>
    <s v="2000-2012"/>
    <x v="1"/>
    <s v="Black and White"/>
    <s v="United States"/>
    <s v="US"/>
    <s v="Y"/>
    <x v="0"/>
    <s v="AROI"/>
    <s v="N"/>
    <s v="nonracial attitude"/>
    <x v="0"/>
    <x v="0"/>
    <n v="5"/>
    <n v="0"/>
    <n v="0"/>
    <n v="0"/>
    <n v="0.2"/>
    <s v="NA"/>
    <s v="NA"/>
    <s v="NA"/>
    <n v="5"/>
    <n v="0"/>
    <n v="0"/>
    <n v="0"/>
    <n v="0.2"/>
    <s v="NA"/>
    <s v="NA"/>
    <s v="NA"/>
    <m/>
    <m/>
    <m/>
    <m/>
    <m/>
    <m/>
    <m/>
    <m/>
    <s v="N"/>
    <s v="subset"/>
    <s v="N"/>
    <s v="N"/>
    <s v="N"/>
    <s v="1985 and after"/>
    <s v="2000-2016"/>
    <n v="9"/>
    <n v="1"/>
    <s v="All"/>
  </r>
  <r>
    <s v="Schaeffer"/>
    <n v="1980"/>
    <s v="1942-1979"/>
    <x v="1"/>
    <s v="Black and White"/>
    <s v="United States"/>
    <s v="US"/>
    <s v="Y"/>
    <x v="0"/>
    <s v="AROI"/>
    <s v="N"/>
    <s v="nonracial attitude, racial attitude"/>
    <x v="1"/>
    <x v="0"/>
    <n v="3"/>
    <n v="0"/>
    <n v="3"/>
    <n v="0"/>
    <n v="0.33"/>
    <s v="NA"/>
    <n v="0"/>
    <s v="NA"/>
    <n v="3"/>
    <n v="0"/>
    <n v="5"/>
    <n v="0"/>
    <n v="0"/>
    <s v="NA"/>
    <n v="0.6"/>
    <s v="NA"/>
    <m/>
    <m/>
    <m/>
    <m/>
    <m/>
    <m/>
    <m/>
    <m/>
    <s v="Y"/>
    <s v="subset"/>
    <s v="Y"/>
    <s v="N"/>
    <s v="N"/>
    <s v="before 1985"/>
    <s v="1980-2000"/>
    <n v="5"/>
    <n v="3"/>
    <s v="Not reported"/>
  </r>
  <r>
    <s v="Schuman and Converse"/>
    <n v="1971"/>
    <s v="1942-1979"/>
    <x v="0"/>
    <s v="Black and White"/>
    <s v="Detroit"/>
    <s v="Non-south"/>
    <s v="N"/>
    <x v="0"/>
    <s v="AROI"/>
    <s v="Y"/>
    <s v="racial attitude, racial fact, nonracial attitude, nonracial fact"/>
    <x v="1"/>
    <x v="0"/>
    <n v="29"/>
    <n v="47"/>
    <n v="40"/>
    <n v="14"/>
    <n v="0.14000000000000001"/>
    <n v="0.19"/>
    <n v="0.37"/>
    <n v="0.43"/>
    <m/>
    <m/>
    <m/>
    <m/>
    <m/>
    <m/>
    <m/>
    <m/>
    <m/>
    <m/>
    <m/>
    <m/>
    <m/>
    <m/>
    <m/>
    <m/>
    <s v="N"/>
    <s v="entire survey"/>
    <s v="Y"/>
    <s v="Y"/>
    <s v="N"/>
    <s v="before 1985"/>
    <s v="before 1980"/>
    <n v="3"/>
    <n v="4"/>
    <s v="NA"/>
  </r>
  <r>
    <s v="Shosteck"/>
    <n v="1977"/>
    <s v="1942-1979"/>
    <x v="0"/>
    <s v="Black and White"/>
    <s v="Indianapolis"/>
    <s v="Non-south"/>
    <s v="N"/>
    <x v="0"/>
    <s v="AROI"/>
    <s v="N"/>
    <s v="nonracial attitude"/>
    <x v="1"/>
    <x v="0"/>
    <n v="1"/>
    <n v="0"/>
    <n v="0"/>
    <n v="0"/>
    <n v="1"/>
    <s v="NA"/>
    <s v="NA"/>
    <s v="NA"/>
    <m/>
    <m/>
    <m/>
    <m/>
    <m/>
    <m/>
    <m/>
    <m/>
    <m/>
    <m/>
    <m/>
    <m/>
    <m/>
    <m/>
    <m/>
    <m/>
    <s v="N"/>
    <s v="uncertain"/>
    <s v="N"/>
    <s v="Y"/>
    <s v="N"/>
    <s v="before 1985"/>
    <s v="before 1980"/>
    <n v="1"/>
    <n v="2"/>
    <s v="NA"/>
  </r>
  <r>
    <s v="Wang et al."/>
    <n v="2013"/>
    <s v="2000-2012"/>
    <x v="4"/>
    <s v="Black, White and Hispanic"/>
    <s v="United States"/>
    <s v="US"/>
    <s v="Y"/>
    <x v="0"/>
    <s v="AROI"/>
    <s v="N"/>
    <s v="nonracial attitude"/>
    <x v="1"/>
    <x v="0"/>
    <n v="12"/>
    <n v="0"/>
    <n v="0"/>
    <n v="0"/>
    <n v="0"/>
    <s v="NA"/>
    <s v="NA"/>
    <s v="NA"/>
    <n v="12"/>
    <n v="0"/>
    <n v="0"/>
    <n v="0"/>
    <n v="0"/>
    <s v="NA"/>
    <s v="NA"/>
    <s v="NA"/>
    <n v="12"/>
    <n v="0"/>
    <n v="0"/>
    <n v="0"/>
    <n v="1"/>
    <s v="NA"/>
    <s v="NA"/>
    <s v="NA"/>
    <s v="N"/>
    <s v="subset"/>
    <s v="N"/>
    <s v="Y"/>
    <s v="N"/>
    <s v="1985 and after"/>
    <s v="2000-2016"/>
    <n v="0"/>
    <n v="2"/>
    <s v="NA"/>
  </r>
  <r>
    <s v="Williams"/>
    <n v="1964"/>
    <s v="1942-1979"/>
    <x v="0"/>
    <s v="Black and White"/>
    <s v="North Carolina"/>
    <s v="South"/>
    <s v="N"/>
    <x v="0"/>
    <s v="AROI"/>
    <s v="Y"/>
    <s v="racial attitude, racial fact, nonracial attitude, nonracial fact"/>
    <x v="1"/>
    <x v="0"/>
    <n v="4"/>
    <n v="6"/>
    <n v="2"/>
    <n v="1"/>
    <n v="0.5"/>
    <n v="0"/>
    <n v="1"/>
    <n v="1"/>
    <m/>
    <m/>
    <m/>
    <m/>
    <m/>
    <m/>
    <m/>
    <m/>
    <m/>
    <m/>
    <m/>
    <m/>
    <m/>
    <m/>
    <m/>
    <m/>
    <s v="N"/>
    <s v="entire survey"/>
    <s v="N"/>
    <s v="Y"/>
    <s v="N"/>
    <s v="before 1985"/>
    <s v="before 1980"/>
    <n v="1"/>
    <n v="3"/>
    <s v="NA"/>
  </r>
  <r>
    <s v="Wilson"/>
    <n v="2002"/>
    <s v="2000-2012"/>
    <x v="1"/>
    <s v="Black and White"/>
    <s v="United States"/>
    <s v="US"/>
    <s v="Y"/>
    <x v="1"/>
    <s v="AROI"/>
    <s v="Y"/>
    <s v="nonracial attitude, racial attitude"/>
    <x v="1"/>
    <x v="0"/>
    <n v="4"/>
    <n v="0"/>
    <n v="18"/>
    <n v="0"/>
    <n v="0.25"/>
    <s v="NA"/>
    <n v="0.05"/>
    <s v="NA"/>
    <n v="4"/>
    <n v="0"/>
    <n v="18"/>
    <n v="0"/>
    <n v="0.5"/>
    <s v="NA"/>
    <n v="0.05"/>
    <s v="NA"/>
    <m/>
    <m/>
    <m/>
    <m/>
    <m/>
    <m/>
    <m/>
    <m/>
    <s v="N"/>
    <s v="subset"/>
    <s v="N"/>
    <s v="N"/>
    <s v="N"/>
    <s v="1985 and after"/>
    <s v="2000-2016"/>
    <n v="8"/>
    <n v="2"/>
    <s v="NA"/>
  </r>
  <r>
    <s v="Wilson, Gonzales, and Davis"/>
    <n v="2013"/>
    <s v="NA"/>
    <x v="2"/>
    <s v="Black and White"/>
    <s v="United States"/>
    <s v="US"/>
    <s v="Y"/>
    <x v="0"/>
    <s v="AROI"/>
    <s v="N"/>
    <s v="racial attitude"/>
    <x v="1"/>
    <x v="0"/>
    <m/>
    <m/>
    <m/>
    <m/>
    <m/>
    <m/>
    <m/>
    <m/>
    <n v="0"/>
    <n v="0"/>
    <n v="1"/>
    <n v="0"/>
    <s v="NA"/>
    <s v="NA"/>
    <n v="0"/>
    <s v="NA"/>
    <m/>
    <m/>
    <m/>
    <m/>
    <m/>
    <m/>
    <m/>
    <m/>
    <s v="Y"/>
    <s v="subset"/>
    <s v="Y"/>
    <s v="Y"/>
    <s v="N"/>
    <s v="1985 and after"/>
    <s v="2000-2016"/>
    <n v="9"/>
    <n v="4"/>
    <s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Anderson, Silver, and Abramson (attitudes)"/>
    <n v="1988"/>
    <s v="NA"/>
    <x v="0"/>
    <s v="Black and White"/>
    <s v="United States"/>
    <s v="US"/>
    <s v="Y"/>
    <s v="F2F"/>
    <s v="AROI"/>
    <s v="N"/>
    <s v="nonracial attitude, racial attitude"/>
    <s v="Y"/>
    <x v="0"/>
    <n v="2"/>
    <n v="0"/>
    <n v="8"/>
    <n v="0"/>
    <n v="0.5"/>
    <m/>
    <n v="0.625"/>
    <m/>
    <m/>
    <m/>
    <m/>
    <m/>
    <m/>
    <m/>
    <m/>
    <m/>
    <m/>
    <m/>
    <m/>
    <m/>
    <m/>
    <m/>
    <m/>
    <m/>
    <s v="N"/>
    <x v="0"/>
    <s v="N"/>
    <s v="N"/>
    <s v="Y"/>
    <s v="N"/>
    <s v="1985 and after"/>
    <s v="1980-2000"/>
    <n v="2"/>
    <n v="1"/>
    <m/>
    <n v="1"/>
    <n v="0"/>
    <n v="1.25"/>
    <n v="0"/>
    <n v="0"/>
    <n v="0"/>
    <n v="0"/>
    <n v="0"/>
    <n v="0"/>
    <n v="0"/>
    <n v="0"/>
    <n v="0"/>
    <n v="0"/>
    <n v="1"/>
    <n v="10"/>
    <n v="2"/>
    <n v="0.2"/>
  </r>
  <r>
    <s v="Anderson, Silver, and Abramson (voting)"/>
    <n v="1988"/>
    <s v="NA"/>
    <x v="0"/>
    <s v="Black and White"/>
    <s v="United States"/>
    <s v="US"/>
    <s v="Y"/>
    <s v="F2F"/>
    <s v="AROI"/>
    <s v="N"/>
    <s v="nonracial attitude"/>
    <s v="Y"/>
    <x v="0"/>
    <n v="6"/>
    <n v="0"/>
    <n v="0"/>
    <n v="0"/>
    <n v="0"/>
    <m/>
    <m/>
    <m/>
    <m/>
    <m/>
    <m/>
    <m/>
    <m/>
    <m/>
    <m/>
    <m/>
    <m/>
    <m/>
    <m/>
    <m/>
    <m/>
    <m/>
    <m/>
    <m/>
    <s v="N"/>
    <x v="0"/>
    <s v="N"/>
    <s v="N"/>
    <s v="Y"/>
    <s v="N"/>
    <s v="1985 and after"/>
    <s v="1980-2000"/>
    <n v="2"/>
    <n v="1"/>
    <m/>
    <n v="1"/>
    <n v="0"/>
    <n v="0"/>
    <n v="0"/>
    <n v="0"/>
    <n v="0"/>
    <n v="0"/>
    <n v="0"/>
    <n v="0"/>
    <n v="0"/>
    <n v="0"/>
    <n v="0"/>
    <n v="0"/>
    <n v="1"/>
    <n v="6"/>
    <n v="1"/>
    <n v="0.16666666666666666"/>
  </r>
  <r>
    <s v="Belk, Huffmon, and Lawrence"/>
    <n v="2013"/>
    <s v="2000-2012"/>
    <x v="0"/>
    <s v="Black and White"/>
    <s v="11 southern states"/>
    <s v="South"/>
    <s v="N"/>
    <s v="telephone"/>
    <s v="AROI"/>
    <s v="Y"/>
    <s v="nonracial attitude, racial attitude"/>
    <s v="Y"/>
    <x v="1"/>
    <n v="7"/>
    <n v="0"/>
    <n v="6"/>
    <n v="0"/>
    <n v="0"/>
    <m/>
    <n v="0.83"/>
    <m/>
    <m/>
    <m/>
    <m/>
    <m/>
    <m/>
    <m/>
    <m/>
    <m/>
    <m/>
    <m/>
    <m/>
    <m/>
    <m/>
    <m/>
    <m/>
    <m/>
    <s v="N"/>
    <x v="0"/>
    <s v="N"/>
    <s v="Y"/>
    <s v="N"/>
    <s v="N"/>
    <s v="1985 and after"/>
    <s v="2000-2016"/>
    <n v="11"/>
    <n v="3"/>
    <m/>
    <n v="1"/>
    <n v="0"/>
    <n v="5.81"/>
    <n v="0"/>
    <n v="0"/>
    <n v="0"/>
    <n v="0"/>
    <n v="0"/>
    <n v="0"/>
    <n v="0"/>
    <n v="0"/>
    <n v="0"/>
    <m/>
    <m/>
    <n v="13"/>
    <n v="7"/>
    <n v="0.53846153846153844"/>
  </r>
  <r>
    <s v="Cody, Davis, and Wilson"/>
    <n v="2010"/>
    <s v="1982-1999"/>
    <x v="0"/>
    <s v="Black and White"/>
    <s v="United States"/>
    <s v="US"/>
    <s v="Y"/>
    <s v="telephone"/>
    <s v="AROI"/>
    <s v="Y"/>
    <s v="racial attitude"/>
    <s v="Y"/>
    <x v="0"/>
    <n v="0"/>
    <n v="0"/>
    <n v="10"/>
    <n v="0"/>
    <m/>
    <m/>
    <n v="0.8"/>
    <m/>
    <m/>
    <m/>
    <m/>
    <m/>
    <m/>
    <m/>
    <m/>
    <m/>
    <m/>
    <m/>
    <m/>
    <m/>
    <m/>
    <m/>
    <m/>
    <m/>
    <s v="Y"/>
    <x v="0"/>
    <s v="N"/>
    <s v="Y"/>
    <s v="Y"/>
    <s v="N"/>
    <s v="1985 and after"/>
    <s v="2000-2016"/>
    <n v="6"/>
    <n v="4"/>
    <m/>
    <n v="1"/>
    <n v="0"/>
    <n v="0"/>
    <n v="0"/>
    <n v="0"/>
    <n v="0"/>
    <n v="0"/>
    <n v="0"/>
    <n v="0"/>
    <n v="0"/>
    <n v="0"/>
    <n v="0"/>
    <n v="2"/>
    <n v="2"/>
    <n v="10"/>
    <n v="1"/>
    <n v="0.1"/>
  </r>
  <r>
    <s v="Cotter, Cohen, and Coulter"/>
    <n v="1982"/>
    <s v="1982-1999"/>
    <x v="1"/>
    <s v="Black and White"/>
    <s v="Alabama"/>
    <s v="South"/>
    <s v="N"/>
    <s v="telephone"/>
    <s v="AROI"/>
    <s v="Y"/>
    <s v="nonracial attitude, racial attitude"/>
    <s v="N"/>
    <x v="0"/>
    <n v="10"/>
    <n v="0"/>
    <n v="13"/>
    <n v="0"/>
    <n v="0"/>
    <m/>
    <n v="0.08"/>
    <m/>
    <n v="10"/>
    <n v="0"/>
    <n v="13"/>
    <n v="0"/>
    <n v="0"/>
    <m/>
    <n v="0.69"/>
    <m/>
    <m/>
    <m/>
    <m/>
    <m/>
    <m/>
    <m/>
    <m/>
    <m/>
    <s v="N"/>
    <x v="1"/>
    <s v="Y"/>
    <s v="N"/>
    <s v="Y"/>
    <s v="N"/>
    <s v="before 1985"/>
    <s v="1980-2000"/>
    <n v="2"/>
    <n v="3"/>
    <m/>
    <n v="1"/>
    <n v="0"/>
    <n v="0.8"/>
    <n v="0"/>
    <n v="0"/>
    <n v="0"/>
    <n v="8.9699999999999989"/>
    <n v="0"/>
    <n v="0"/>
    <n v="0"/>
    <n v="0"/>
    <n v="0"/>
    <n v="1"/>
    <n v="2"/>
    <n v="46"/>
    <n v="11"/>
    <n v="0.2391304347826087"/>
  </r>
  <r>
    <s v="Davis (direction)"/>
    <n v="1997"/>
    <s v="1982-1999"/>
    <x v="0"/>
    <s v="Black and White"/>
    <s v="United States"/>
    <s v="US"/>
    <s v="Y"/>
    <s v="telephone"/>
    <s v="AROI"/>
    <s v="Y"/>
    <s v="racial attitude"/>
    <s v="N"/>
    <x v="0"/>
    <n v="0"/>
    <n v="0"/>
    <n v="6"/>
    <n v="0"/>
    <m/>
    <m/>
    <n v="1"/>
    <m/>
    <m/>
    <m/>
    <m/>
    <m/>
    <m/>
    <m/>
    <m/>
    <m/>
    <m/>
    <m/>
    <m/>
    <m/>
    <m/>
    <m/>
    <m/>
    <m/>
    <s v="N"/>
    <x v="0"/>
    <s v="N"/>
    <s v="N"/>
    <s v="N"/>
    <s v="N"/>
    <s v="1985 and after"/>
    <s v="1980-2000"/>
    <n v="9"/>
    <n v="1"/>
    <m/>
    <n v="1"/>
    <n v="0"/>
    <n v="0"/>
    <n v="0"/>
    <n v="0"/>
    <n v="0"/>
    <n v="0"/>
    <n v="0"/>
    <n v="0"/>
    <n v="0"/>
    <n v="0"/>
    <n v="0"/>
    <n v="1"/>
    <n v="0"/>
    <n v="6"/>
    <n v="1"/>
    <n v="0.16666666666666666"/>
  </r>
  <r>
    <s v="Davis (nonrandom)"/>
    <n v="1997"/>
    <s v="1982-1999"/>
    <x v="0"/>
    <s v="Black and White"/>
    <s v="United States"/>
    <s v="US"/>
    <s v="Y"/>
    <s v="telephone"/>
    <s v="AROI"/>
    <s v="Y"/>
    <s v="racial attitude"/>
    <s v="Y"/>
    <x v="1"/>
    <n v="0"/>
    <n v="0"/>
    <n v="10"/>
    <n v="0"/>
    <m/>
    <m/>
    <m/>
    <m/>
    <m/>
    <m/>
    <m/>
    <m/>
    <m/>
    <m/>
    <m/>
    <m/>
    <m/>
    <m/>
    <m/>
    <m/>
    <m/>
    <m/>
    <m/>
    <m/>
    <s v="N"/>
    <x v="0"/>
    <s v="N"/>
    <s v="N"/>
    <s v="N"/>
    <s v="N"/>
    <s v="1985 and after"/>
    <s v="1980-2000"/>
    <n v="10"/>
    <n v="1"/>
    <m/>
    <n v="1"/>
    <n v="0"/>
    <n v="0"/>
    <n v="0"/>
    <n v="0"/>
    <n v="0"/>
    <n v="0"/>
    <n v="0"/>
    <n v="0"/>
    <n v="0"/>
    <n v="0"/>
    <n v="0"/>
    <n v="1"/>
    <n v="0"/>
    <n v="10"/>
    <n v="1"/>
    <n v="0.1"/>
  </r>
  <r>
    <s v="Davis and Silver"/>
    <n v="2003"/>
    <s v="2000-2012"/>
    <x v="1"/>
    <s v="Black and White"/>
    <s v="Michigan"/>
    <s v="Non-south"/>
    <s v="N"/>
    <s v="telephone"/>
    <s v="AROI"/>
    <s v="Y"/>
    <s v="nonracial fact"/>
    <s v="N"/>
    <x v="0"/>
    <n v="0"/>
    <n v="1"/>
    <n v="0"/>
    <n v="0"/>
    <m/>
    <n v="0"/>
    <m/>
    <m/>
    <n v="0"/>
    <n v="1"/>
    <n v="0"/>
    <n v="0"/>
    <m/>
    <n v="0"/>
    <m/>
    <m/>
    <m/>
    <m/>
    <m/>
    <m/>
    <m/>
    <m/>
    <m/>
    <m/>
    <s v="N"/>
    <x v="0"/>
    <s v="Y"/>
    <s v="N"/>
    <s v="N"/>
    <m/>
    <s v="1985 and after"/>
    <s v="2000-2016"/>
    <n v="5"/>
    <n v="3"/>
    <m/>
    <n v="1"/>
    <n v="0"/>
    <n v="0"/>
    <n v="0"/>
    <n v="0"/>
    <n v="0"/>
    <n v="0"/>
    <n v="0"/>
    <n v="0"/>
    <n v="0"/>
    <n v="0"/>
    <n v="0"/>
    <m/>
    <m/>
    <n v="2"/>
    <n v="1"/>
    <n v="0.5"/>
  </r>
  <r>
    <s v="Finkel, Guterbock, and Borg"/>
    <n v="1991"/>
    <s v="1982-1999"/>
    <x v="2"/>
    <s v="Black and White"/>
    <s v="Virginia"/>
    <s v="South"/>
    <s v="N"/>
    <s v="telephone"/>
    <s v="AROI"/>
    <s v="Y"/>
    <s v="racial attitude"/>
    <s v="Y"/>
    <x v="0"/>
    <m/>
    <m/>
    <m/>
    <m/>
    <m/>
    <m/>
    <m/>
    <m/>
    <n v="0"/>
    <n v="0"/>
    <n v="2"/>
    <n v="0"/>
    <m/>
    <m/>
    <n v="0"/>
    <m/>
    <m/>
    <m/>
    <m/>
    <m/>
    <m/>
    <m/>
    <m/>
    <m/>
    <s v="N"/>
    <x v="0"/>
    <s v="N"/>
    <s v="N"/>
    <s v="N"/>
    <s v="N"/>
    <s v="1985 and after"/>
    <s v="1980-2000"/>
    <n v="6"/>
    <n v="1"/>
    <m/>
    <n v="1"/>
    <n v="0"/>
    <n v="0"/>
    <n v="0"/>
    <n v="0"/>
    <n v="0"/>
    <n v="0"/>
    <n v="0"/>
    <n v="0"/>
    <n v="0"/>
    <n v="0"/>
    <n v="0"/>
    <n v="1"/>
    <n v="0"/>
    <n v="2"/>
    <n v="1"/>
    <n v="0.5"/>
  </r>
  <r>
    <s v="Hatchett and Schuman"/>
    <n v="1975"/>
    <s v="1942-1979"/>
    <x v="2"/>
    <s v="Black and White"/>
    <s v="Detroit"/>
    <s v="Non-south"/>
    <s v="N"/>
    <s v="F2F"/>
    <s v="AROI"/>
    <s v="Y"/>
    <s v="racial attitude"/>
    <s v="Y"/>
    <x v="0"/>
    <m/>
    <m/>
    <m/>
    <m/>
    <m/>
    <m/>
    <m/>
    <m/>
    <n v="0"/>
    <n v="0"/>
    <n v="4"/>
    <n v="0"/>
    <m/>
    <m/>
    <n v="0.75"/>
    <m/>
    <m/>
    <m/>
    <m/>
    <m/>
    <m/>
    <m/>
    <m/>
    <m/>
    <s v="N"/>
    <x v="0"/>
    <s v="N"/>
    <s v="N"/>
    <s v="Y"/>
    <s v="N"/>
    <s v="before 1985"/>
    <s v="before 1980"/>
    <n v="2"/>
    <n v="2"/>
    <m/>
    <n v="1"/>
    <n v="0"/>
    <n v="0"/>
    <n v="0"/>
    <n v="0"/>
    <n v="0"/>
    <n v="3"/>
    <n v="0"/>
    <n v="0"/>
    <n v="0"/>
    <n v="0"/>
    <n v="0"/>
    <n v="1"/>
    <n v="1"/>
    <n v="4"/>
    <n v="4"/>
    <n v="1"/>
  </r>
  <r>
    <s v="Holbrook et al."/>
    <n v="2019"/>
    <s v="2000-2012"/>
    <x v="3"/>
    <s v="Non-Hispanic White, Non-Hispanic Black and Hispanic"/>
    <s v="Chicago"/>
    <s v="Non-south"/>
    <s v="N"/>
    <s v="telephone"/>
    <s v="AROI"/>
    <s v="Y"/>
    <s v="racial attitude"/>
    <s v="Y"/>
    <x v="1"/>
    <m/>
    <m/>
    <m/>
    <m/>
    <m/>
    <m/>
    <m/>
    <m/>
    <m/>
    <m/>
    <m/>
    <m/>
    <m/>
    <m/>
    <m/>
    <m/>
    <m/>
    <m/>
    <m/>
    <m/>
    <m/>
    <m/>
    <m/>
    <m/>
    <s v="Y"/>
    <x v="0"/>
    <s v="N"/>
    <s v="Y"/>
    <s v="Y"/>
    <s v="N"/>
    <s v="1985 and after"/>
    <s v="2000-2016"/>
    <n v="19"/>
    <n v="4"/>
    <m/>
    <n v="1"/>
    <n v="0"/>
    <n v="0"/>
    <n v="0"/>
    <n v="0"/>
    <n v="0"/>
    <n v="0"/>
    <n v="0"/>
    <n v="0"/>
    <n v="0"/>
    <n v="0"/>
    <n v="0"/>
    <n v="2"/>
    <n v="2"/>
    <n v="0"/>
    <n v="1"/>
    <e v="#DIV/0!"/>
  </r>
  <r>
    <s v="Huang"/>
    <n v="2009"/>
    <s v="1982-1999"/>
    <x v="1"/>
    <s v="Black and White"/>
    <s v="United States"/>
    <s v="US"/>
    <s v="Y"/>
    <s v="F2F"/>
    <s v="AROI"/>
    <s v="N"/>
    <s v="nonracial fact"/>
    <s v="Y"/>
    <x v="1"/>
    <n v="0"/>
    <n v="1"/>
    <n v="0"/>
    <n v="0"/>
    <m/>
    <n v="1"/>
    <m/>
    <m/>
    <n v="0"/>
    <n v="1"/>
    <n v="0"/>
    <n v="0"/>
    <m/>
    <n v="0"/>
    <m/>
    <m/>
    <m/>
    <m/>
    <m/>
    <m/>
    <m/>
    <m/>
    <m/>
    <m/>
    <s v="Y"/>
    <x v="0"/>
    <s v="N"/>
    <s v="N"/>
    <s v="Y"/>
    <s v="N"/>
    <s v="1985 and after"/>
    <s v="2000-2016"/>
    <n v="3"/>
    <n v="2"/>
    <m/>
    <n v="1"/>
    <n v="1"/>
    <n v="0"/>
    <n v="0"/>
    <n v="0"/>
    <n v="0"/>
    <n v="0"/>
    <n v="0"/>
    <n v="0"/>
    <n v="0"/>
    <n v="0"/>
    <n v="0"/>
    <n v="1"/>
    <n v="1"/>
    <n v="2"/>
    <n v="2"/>
    <n v="1"/>
  </r>
  <r>
    <s v="Hutcheson, Prather, and Snow"/>
    <n v="1979"/>
    <s v="1942-1979"/>
    <x v="1"/>
    <s v="Black and White"/>
    <s v="large SMSA"/>
    <s v="South"/>
    <s v="N"/>
    <s v="F2F"/>
    <s v="AROI"/>
    <s v="N"/>
    <s v="nonracial attitude, nonracial fact"/>
    <s v="N"/>
    <x v="0"/>
    <n v="2"/>
    <n v="1"/>
    <n v="0"/>
    <n v="0"/>
    <n v="1"/>
    <n v="1"/>
    <m/>
    <m/>
    <n v="2"/>
    <n v="1"/>
    <n v="0"/>
    <n v="0"/>
    <n v="1"/>
    <n v="1"/>
    <m/>
    <m/>
    <m/>
    <m/>
    <m/>
    <m/>
    <m/>
    <m/>
    <m/>
    <m/>
    <s v="N"/>
    <x v="0"/>
    <s v="N"/>
    <s v="N"/>
    <s v="Y"/>
    <s v="N"/>
    <s v="before 1985"/>
    <s v="before 1980"/>
    <n v="4"/>
    <n v="1"/>
    <m/>
    <n v="1"/>
    <n v="1"/>
    <n v="0"/>
    <n v="0"/>
    <n v="2"/>
    <n v="1"/>
    <n v="0"/>
    <n v="0"/>
    <n v="0"/>
    <n v="0"/>
    <n v="0"/>
    <n v="0"/>
    <n v="0"/>
    <n v="1"/>
    <n v="6"/>
    <n v="5"/>
    <n v="0.83333333333333337"/>
  </r>
  <r>
    <s v="Hyman"/>
    <n v="1954"/>
    <s v="1942-1979"/>
    <x v="0"/>
    <s v="Black and White"/>
    <s v="Memphis"/>
    <s v="South"/>
    <s v="N"/>
    <s v="F2F"/>
    <s v="AROI"/>
    <s v="Y"/>
    <s v="racial attitude"/>
    <s v="N"/>
    <x v="0"/>
    <n v="8"/>
    <n v="0"/>
    <n v="17"/>
    <n v="0"/>
    <n v="0.875"/>
    <m/>
    <n v="0.88235300000000005"/>
    <m/>
    <m/>
    <m/>
    <m/>
    <m/>
    <m/>
    <m/>
    <m/>
    <m/>
    <m/>
    <m/>
    <m/>
    <m/>
    <m/>
    <m/>
    <m/>
    <m/>
    <s v="N"/>
    <x v="2"/>
    <s v="N"/>
    <s v="N"/>
    <s v="N"/>
    <s v="N"/>
    <s v="before 1985"/>
    <s v="before 1980"/>
    <n v="0"/>
    <n v="1"/>
    <m/>
    <n v="1"/>
    <n v="0"/>
    <n v="7.0588240000000004"/>
    <n v="0"/>
    <n v="0"/>
    <n v="0"/>
    <n v="0"/>
    <n v="0"/>
    <n v="0"/>
    <n v="0"/>
    <n v="0"/>
    <n v="0"/>
    <n v="1"/>
    <n v="0"/>
    <n v="25"/>
    <n v="8"/>
    <n v="0.32"/>
  </r>
  <r>
    <s v="Keeter"/>
    <n v="1990"/>
    <s v="1982-1999"/>
    <x v="1"/>
    <s v="Black and White"/>
    <s v="Virginia"/>
    <s v="South"/>
    <s v="N"/>
    <s v="telephone"/>
    <s v="AROI"/>
    <s v="N"/>
    <s v="racial attitude"/>
    <s v="Y"/>
    <x v="0"/>
    <n v="0"/>
    <n v="0"/>
    <n v="1"/>
    <n v="0"/>
    <m/>
    <m/>
    <n v="1"/>
    <m/>
    <n v="0"/>
    <n v="0"/>
    <n v="1"/>
    <n v="0"/>
    <m/>
    <m/>
    <n v="1"/>
    <m/>
    <m/>
    <m/>
    <m/>
    <m/>
    <m/>
    <m/>
    <m/>
    <m/>
    <s v="N"/>
    <x v="2"/>
    <s v="N"/>
    <s v="N"/>
    <s v="N"/>
    <s v="N"/>
    <s v="1985 and after"/>
    <s v="1980-2000"/>
    <n v="4"/>
    <n v="0"/>
    <m/>
    <n v="1"/>
    <n v="0"/>
    <n v="0"/>
    <n v="0"/>
    <n v="0"/>
    <n v="0"/>
    <n v="1"/>
    <n v="0"/>
    <n v="0"/>
    <n v="0"/>
    <n v="0"/>
    <n v="0"/>
    <n v="0"/>
    <n v="0"/>
    <n v="2"/>
    <n v="2"/>
    <n v="1"/>
  </r>
  <r>
    <s v="Lind, Oldendick, Hall, Rose, and Shealy"/>
    <n v="2001"/>
    <s v="2000-2012"/>
    <x v="1"/>
    <s v="Black and White"/>
    <s v="South Carolina"/>
    <s v="South"/>
    <s v="N"/>
    <s v="telephone"/>
    <s v="AROI"/>
    <s v="N"/>
    <s v="racial attitude"/>
    <s v="N"/>
    <x v="0"/>
    <n v="0"/>
    <n v="0"/>
    <n v="1"/>
    <n v="0"/>
    <m/>
    <m/>
    <n v="0"/>
    <m/>
    <n v="0"/>
    <n v="0"/>
    <n v="1"/>
    <n v="0"/>
    <m/>
    <m/>
    <n v="0"/>
    <m/>
    <m/>
    <m/>
    <m/>
    <m/>
    <m/>
    <m/>
    <m/>
    <m/>
    <s v="N"/>
    <x v="0"/>
    <s v="N"/>
    <s v="N"/>
    <s v="N"/>
    <s v="N"/>
    <s v="1985 and after"/>
    <s v="2000-2016"/>
    <n v="4"/>
    <n v="0"/>
    <m/>
    <n v="1"/>
    <n v="0"/>
    <n v="0"/>
    <n v="0"/>
    <n v="0"/>
    <n v="0"/>
    <n v="0"/>
    <n v="0"/>
    <n v="0"/>
    <n v="0"/>
    <n v="0"/>
    <n v="0"/>
    <n v="0"/>
    <n v="0"/>
    <n v="2"/>
    <n v="1"/>
    <n v="0.5"/>
  </r>
  <r>
    <s v="Link and Oldendick"/>
    <n v="1998"/>
    <s v="1982-1999"/>
    <x v="1"/>
    <s v="Black and White"/>
    <s v="southern state"/>
    <s v="South"/>
    <s v="N"/>
    <s v="telephone"/>
    <s v="AROI"/>
    <s v="N"/>
    <s v="nonracial attitude, racial attitude"/>
    <s v="Y"/>
    <x v="0"/>
    <n v="2"/>
    <n v="0"/>
    <n v="1"/>
    <n v="0"/>
    <n v="0"/>
    <m/>
    <n v="0"/>
    <m/>
    <n v="2"/>
    <n v="0"/>
    <n v="1"/>
    <n v="0"/>
    <n v="0"/>
    <m/>
    <n v="1"/>
    <m/>
    <m/>
    <m/>
    <m/>
    <m/>
    <m/>
    <m/>
    <m/>
    <m/>
    <s v="N"/>
    <x v="0"/>
    <s v="N"/>
    <s v="N"/>
    <s v="N"/>
    <s v="N"/>
    <s v="1985 and after"/>
    <s v="1980-2000"/>
    <n v="5"/>
    <n v="0"/>
    <m/>
    <n v="1"/>
    <n v="0"/>
    <n v="0"/>
    <n v="0"/>
    <n v="0"/>
    <n v="0"/>
    <n v="1"/>
    <n v="0"/>
    <n v="0"/>
    <n v="0"/>
    <n v="0"/>
    <n v="0"/>
    <n v="0"/>
    <n v="0"/>
    <n v="6"/>
    <n v="2"/>
    <n v="0.33333333333333331"/>
  </r>
  <r>
    <s v="Liu and Wang"/>
    <n v="2016"/>
    <s v="2000-2012"/>
    <x v="3"/>
    <s v="Non-Hispanic White, Non-Hispanic Black and Hispanic"/>
    <s v="United States"/>
    <s v="US"/>
    <s v="Y"/>
    <s v="F2F"/>
    <s v="AROI"/>
    <s v="N"/>
    <s v="racial attitude"/>
    <s v="Y"/>
    <x v="1"/>
    <n v="0"/>
    <n v="0"/>
    <n v="6"/>
    <n v="0"/>
    <m/>
    <m/>
    <n v="1"/>
    <m/>
    <n v="0"/>
    <n v="0"/>
    <n v="6"/>
    <n v="0"/>
    <m/>
    <m/>
    <n v="1"/>
    <m/>
    <n v="0"/>
    <n v="0"/>
    <n v="6"/>
    <n v="0"/>
    <m/>
    <m/>
    <n v="1"/>
    <m/>
    <s v="Y"/>
    <x v="0"/>
    <s v="N"/>
    <s v="N"/>
    <s v="N"/>
    <s v="N"/>
    <s v="1985 and after"/>
    <s v="2000-2016"/>
    <n v="8"/>
    <n v="1"/>
    <m/>
    <n v="1"/>
    <n v="0"/>
    <n v="0"/>
    <n v="0"/>
    <n v="0"/>
    <n v="0"/>
    <n v="6"/>
    <n v="0"/>
    <n v="0"/>
    <n v="0"/>
    <n v="6"/>
    <n v="0"/>
    <n v="1"/>
    <n v="0"/>
    <n v="18"/>
    <n v="13"/>
    <n v="0.72222222222222221"/>
  </r>
  <r>
    <s v="Livert, Kadushin, Schulman, and Weiss"/>
    <n v="1998"/>
    <s v="1982-1999"/>
    <x v="1"/>
    <s v="Black and White"/>
    <s v="urban areas"/>
    <s v="South"/>
    <s v="N"/>
    <s v="telephone"/>
    <s v="AROI"/>
    <s v="Y"/>
    <s v="nonracial attitude"/>
    <s v="N"/>
    <x v="0"/>
    <n v="21"/>
    <n v="0"/>
    <n v="0"/>
    <n v="0"/>
    <n v="0.47599999999999998"/>
    <m/>
    <m/>
    <m/>
    <n v="21"/>
    <n v="0"/>
    <n v="0"/>
    <n v="0"/>
    <n v="4.8000000000000001E-2"/>
    <m/>
    <m/>
    <m/>
    <m/>
    <m/>
    <m/>
    <m/>
    <m/>
    <m/>
    <m/>
    <m/>
    <s v="Y"/>
    <x v="0"/>
    <s v="N"/>
    <s v="N"/>
    <s v="Y"/>
    <s v="N"/>
    <s v="1985 and after"/>
    <s v="1980-2000"/>
    <n v="6"/>
    <n v="3"/>
    <m/>
    <n v="1"/>
    <n v="0"/>
    <n v="0"/>
    <n v="0"/>
    <n v="1.008"/>
    <n v="0"/>
    <n v="0"/>
    <n v="0"/>
    <n v="0"/>
    <n v="0"/>
    <n v="0"/>
    <n v="0"/>
    <n v="2"/>
    <n v="1"/>
    <n v="42"/>
    <n v="2"/>
    <n v="4.7619047619047616E-2"/>
  </r>
  <r>
    <s v="Nienstadt"/>
    <n v="2009"/>
    <s v="2000-2012"/>
    <x v="4"/>
    <s v="White or Mixed and Blacks"/>
    <s v="11 states"/>
    <s v="US"/>
    <s v="N"/>
    <s v="telephone"/>
    <s v="AROI"/>
    <s v="N"/>
    <s v="racial attitude"/>
    <s v="N"/>
    <x v="0"/>
    <n v="0"/>
    <n v="0"/>
    <n v="2"/>
    <n v="0"/>
    <m/>
    <m/>
    <n v="0.5"/>
    <m/>
    <n v="0"/>
    <n v="0"/>
    <n v="2"/>
    <n v="0"/>
    <m/>
    <m/>
    <n v="0.5"/>
    <m/>
    <m/>
    <m/>
    <m/>
    <m/>
    <m/>
    <m/>
    <m/>
    <m/>
    <s v="N"/>
    <x v="0"/>
    <s v="N"/>
    <s v="Y"/>
    <s v="Y"/>
    <s v="N"/>
    <s v="1985 and after"/>
    <s v="2000-2016"/>
    <n v="5"/>
    <n v="2"/>
    <m/>
    <n v="1"/>
    <n v="0"/>
    <n v="0"/>
    <n v="0"/>
    <n v="0"/>
    <n v="0"/>
    <n v="1"/>
    <n v="0"/>
    <n v="0"/>
    <n v="0"/>
    <n v="0"/>
    <n v="0"/>
    <n v="0"/>
    <n v="2"/>
    <n v="4"/>
    <n v="2"/>
    <n v="0.5"/>
  </r>
  <r>
    <s v="Price and Searles"/>
    <n v="1961"/>
    <s v="1942-1979"/>
    <x v="0"/>
    <s v="Black and White"/>
    <s v="North Carolina"/>
    <s v="South"/>
    <s v="N"/>
    <s v="F2F"/>
    <s v="AROI"/>
    <s v="N"/>
    <s v="nonracial attitude, nonracial fact, racial attitude"/>
    <s v="N"/>
    <x v="0"/>
    <n v="4"/>
    <n v="3"/>
    <n v="3"/>
    <n v="0"/>
    <n v="0.75"/>
    <n v="0.33"/>
    <n v="0.66"/>
    <m/>
    <m/>
    <m/>
    <m/>
    <m/>
    <m/>
    <m/>
    <m/>
    <m/>
    <m/>
    <m/>
    <m/>
    <m/>
    <m/>
    <m/>
    <m/>
    <m/>
    <s v="N"/>
    <x v="2"/>
    <s v="N"/>
    <s v="N"/>
    <s v="Y"/>
    <s v="N"/>
    <s v="before 1985"/>
    <s v="before 1980"/>
    <n v="1"/>
    <n v="1"/>
    <m/>
    <n v="1"/>
    <n v="0.99"/>
    <n v="2.64"/>
    <n v="0"/>
    <n v="0"/>
    <n v="0"/>
    <n v="0"/>
    <n v="0"/>
    <n v="0"/>
    <n v="0"/>
    <n v="0"/>
    <n v="0"/>
    <n v="0"/>
    <n v="1"/>
    <n v="10"/>
    <n v="5"/>
    <n v="0.5"/>
  </r>
  <r>
    <s v="Reese, Danielson, Shoemaker, Chang, and Hsu"/>
    <n v="1986"/>
    <s v="1982-1999"/>
    <x v="5"/>
    <s v="Hispanic and Anglo"/>
    <s v="Texas"/>
    <s v="South"/>
    <s v="N"/>
    <s v="telephone"/>
    <s v="AROI"/>
    <s v="Y"/>
    <s v="racial attitude, racial fact"/>
    <s v="N"/>
    <x v="0"/>
    <m/>
    <m/>
    <m/>
    <m/>
    <m/>
    <m/>
    <m/>
    <m/>
    <m/>
    <m/>
    <m/>
    <m/>
    <m/>
    <m/>
    <m/>
    <m/>
    <n v="0"/>
    <n v="0"/>
    <n v="7"/>
    <n v="6"/>
    <m/>
    <m/>
    <n v="0"/>
    <n v="0.33"/>
    <s v="Y"/>
    <x v="1"/>
    <s v="Y"/>
    <s v="N"/>
    <s v="N"/>
    <s v="N"/>
    <s v="1985 and after"/>
    <s v="1980-2000"/>
    <n v="5"/>
    <n v="3"/>
    <m/>
    <n v="1"/>
    <n v="0"/>
    <n v="0"/>
    <n v="0"/>
    <n v="0"/>
    <n v="0"/>
    <n v="0"/>
    <n v="0"/>
    <n v="0"/>
    <n v="0"/>
    <n v="0"/>
    <n v="1.98"/>
    <n v="2"/>
    <n v="1"/>
    <n v="13"/>
    <n v="3"/>
    <n v="0.23076923076923078"/>
  </r>
  <r>
    <s v="Savage"/>
    <n v="2016"/>
    <s v="2000-2012"/>
    <x v="1"/>
    <s v="Black and White"/>
    <s v="United States"/>
    <s v="US"/>
    <s v="Y"/>
    <s v="F2F"/>
    <s v="AROI"/>
    <s v="N"/>
    <s v="nonracial attitude"/>
    <s v="Y"/>
    <x v="0"/>
    <n v="5"/>
    <n v="0"/>
    <n v="0"/>
    <n v="0"/>
    <n v="0.6"/>
    <m/>
    <m/>
    <m/>
    <n v="5"/>
    <n v="0"/>
    <n v="0"/>
    <n v="0"/>
    <n v="0.2"/>
    <m/>
    <m/>
    <m/>
    <m/>
    <m/>
    <m/>
    <m/>
    <m/>
    <m/>
    <m/>
    <m/>
    <s v="N"/>
    <x v="0"/>
    <s v="N"/>
    <s v="N"/>
    <s v="N"/>
    <s v="N"/>
    <s v="1985 and after"/>
    <s v="2000-2016"/>
    <n v="9"/>
    <n v="0"/>
    <m/>
    <n v="1"/>
    <n v="0"/>
    <n v="0"/>
    <n v="0"/>
    <n v="1"/>
    <n v="0"/>
    <n v="0"/>
    <n v="0"/>
    <n v="0"/>
    <n v="0"/>
    <n v="0"/>
    <n v="0"/>
    <n v="0"/>
    <n v="0"/>
    <n v="10"/>
    <n v="2"/>
    <n v="0.2"/>
  </r>
  <r>
    <s v="Schaeffer"/>
    <n v="1980"/>
    <s v="1942-1979"/>
    <x v="1"/>
    <s v="Black and White"/>
    <s v="United States"/>
    <s v="US"/>
    <s v="Y"/>
    <s v="F2F"/>
    <s v="AROI"/>
    <s v="N"/>
    <s v="nonracial attitude, racial attitude"/>
    <s v="N"/>
    <x v="0"/>
    <n v="3"/>
    <n v="0"/>
    <n v="3"/>
    <n v="0"/>
    <n v="0.33"/>
    <m/>
    <n v="0"/>
    <m/>
    <n v="3"/>
    <n v="0"/>
    <n v="5"/>
    <n v="0"/>
    <n v="0"/>
    <m/>
    <n v="0.6"/>
    <m/>
    <m/>
    <m/>
    <m/>
    <m/>
    <m/>
    <m/>
    <m/>
    <m/>
    <s v="Y"/>
    <x v="0"/>
    <s v="N"/>
    <s v="Y"/>
    <s v="N"/>
    <s v="N"/>
    <s v="before 1985"/>
    <s v="1980-2000"/>
    <n v="5"/>
    <n v="2"/>
    <m/>
    <n v="1"/>
    <n v="0"/>
    <n v="0"/>
    <n v="0"/>
    <n v="0"/>
    <n v="0"/>
    <n v="3"/>
    <n v="0"/>
    <n v="0"/>
    <n v="0"/>
    <n v="0"/>
    <n v="0"/>
    <n v="1"/>
    <n v="1"/>
    <n v="14"/>
    <n v="4"/>
    <n v="0.2857142857142857"/>
  </r>
  <r>
    <s v="Schuman and Converse"/>
    <n v="1971"/>
    <s v="1942-1979"/>
    <x v="0"/>
    <s v="Black and White"/>
    <s v="Detroit"/>
    <s v="Non-south"/>
    <s v="N"/>
    <s v="F2F"/>
    <s v="AROI"/>
    <s v="Y"/>
    <s v="nonracial attitude, nonracial fact, racial attitude, racial fact "/>
    <s v="N"/>
    <x v="0"/>
    <n v="29"/>
    <n v="47"/>
    <n v="40"/>
    <n v="14"/>
    <n v="0.14000000000000001"/>
    <n v="0.19"/>
    <n v="0.37"/>
    <n v="0.43"/>
    <m/>
    <m/>
    <m/>
    <m/>
    <m/>
    <m/>
    <m/>
    <m/>
    <m/>
    <m/>
    <m/>
    <m/>
    <m/>
    <m/>
    <m/>
    <m/>
    <s v="N"/>
    <x v="1"/>
    <s v="Y"/>
    <s v="Y"/>
    <s v="Y"/>
    <s v="N"/>
    <s v="before 1985"/>
    <s v="before 1980"/>
    <n v="3"/>
    <n v="4"/>
    <m/>
    <n v="1"/>
    <n v="8.93"/>
    <n v="10.73"/>
    <n v="6.02"/>
    <n v="0"/>
    <n v="0"/>
    <n v="0"/>
    <n v="0"/>
    <n v="0"/>
    <n v="0"/>
    <n v="0"/>
    <n v="0"/>
    <n v="1"/>
    <n v="3"/>
    <n v="130"/>
    <n v="27"/>
    <n v="0.2076923076923077"/>
  </r>
  <r>
    <s v="Schuman and Hatchett"/>
    <n v="1974"/>
    <s v="1942-1979"/>
    <x v="0"/>
    <s v="Black and White"/>
    <s v="Detroit"/>
    <s v="Non-south"/>
    <s v="N"/>
    <s v="F2F"/>
    <s v="AROI"/>
    <s v="Y"/>
    <s v="nonracial attitude, racial attitude"/>
    <s v="Y"/>
    <x v="0"/>
    <n v="8"/>
    <n v="0"/>
    <n v="11"/>
    <n v="0"/>
    <n v="0.88"/>
    <m/>
    <n v="0.36"/>
    <m/>
    <m/>
    <m/>
    <m/>
    <m/>
    <m/>
    <m/>
    <m/>
    <m/>
    <m/>
    <m/>
    <m/>
    <m/>
    <m/>
    <m/>
    <m/>
    <m/>
    <s v="N"/>
    <x v="0"/>
    <s v="N"/>
    <s v="N"/>
    <s v="Y"/>
    <s v="N"/>
    <s v="before 1985"/>
    <s v="before 1980"/>
    <n v="2"/>
    <n v="2"/>
    <m/>
    <n v="1"/>
    <n v="0"/>
    <n v="2.88"/>
    <n v="0"/>
    <n v="0"/>
    <n v="0"/>
    <n v="0"/>
    <n v="0"/>
    <n v="0"/>
    <n v="0"/>
    <n v="0"/>
    <n v="0"/>
    <n v="1"/>
    <n v="1"/>
    <n v="19"/>
    <n v="4"/>
    <n v="0.21052631578947367"/>
  </r>
  <r>
    <s v="Shosteck"/>
    <n v="1977"/>
    <s v="1942-1979"/>
    <x v="0"/>
    <s v="Black and White"/>
    <s v="Indianapolis"/>
    <s v="Non-south"/>
    <s v="N"/>
    <s v="F2F"/>
    <s v="AROI"/>
    <s v="N"/>
    <s v="nonracial attitude"/>
    <s v="N"/>
    <x v="0"/>
    <n v="1"/>
    <n v="0"/>
    <n v="0"/>
    <n v="0"/>
    <n v="1"/>
    <m/>
    <m/>
    <m/>
    <m/>
    <m/>
    <m/>
    <m/>
    <m/>
    <m/>
    <m/>
    <m/>
    <m/>
    <m/>
    <m/>
    <m/>
    <m/>
    <m/>
    <m/>
    <m/>
    <s v="N"/>
    <x v="2"/>
    <s v="N"/>
    <s v="N"/>
    <s v="Y"/>
    <s v="N"/>
    <s v="before 1985"/>
    <s v="before 1980"/>
    <n v="1"/>
    <n v="1"/>
    <m/>
    <n v="1"/>
    <n v="0"/>
    <n v="0"/>
    <n v="0"/>
    <n v="0"/>
    <n v="0"/>
    <n v="0"/>
    <n v="0"/>
    <n v="0"/>
    <n v="0"/>
    <n v="0"/>
    <n v="0"/>
    <n v="0"/>
    <n v="1"/>
    <n v="1"/>
    <n v="1"/>
    <n v="1"/>
  </r>
  <r>
    <s v="Wang et al."/>
    <n v="2013"/>
    <s v="2000-2012"/>
    <x v="6"/>
    <s v="Black, White and Hispanic"/>
    <s v="United States"/>
    <s v="US"/>
    <s v="Y"/>
    <s v="F2F"/>
    <s v="AROI"/>
    <s v="N"/>
    <s v="nonracial attitude"/>
    <s v="N"/>
    <x v="0"/>
    <n v="12"/>
    <n v="0"/>
    <n v="0"/>
    <n v="0"/>
    <n v="0"/>
    <m/>
    <m/>
    <m/>
    <n v="12"/>
    <n v="0"/>
    <n v="0"/>
    <n v="0"/>
    <n v="0"/>
    <m/>
    <m/>
    <m/>
    <n v="12"/>
    <n v="0"/>
    <n v="0"/>
    <n v="0"/>
    <n v="1"/>
    <m/>
    <m/>
    <m/>
    <s v="N"/>
    <x v="0"/>
    <s v="N"/>
    <s v="N"/>
    <s v="Y"/>
    <s v="N"/>
    <s v="1985 and after"/>
    <s v="2000-2016"/>
    <n v="0"/>
    <n v="1"/>
    <m/>
    <n v="1"/>
    <n v="0"/>
    <n v="0"/>
    <n v="0"/>
    <n v="0"/>
    <n v="0"/>
    <n v="0"/>
    <n v="0"/>
    <n v="12"/>
    <n v="0"/>
    <n v="0"/>
    <n v="0"/>
    <n v="0"/>
    <n v="1"/>
    <n v="36"/>
    <n v="13"/>
    <n v="0.3611111111111111"/>
  </r>
  <r>
    <s v="Williams"/>
    <n v="1964"/>
    <s v="1942-1979"/>
    <x v="0"/>
    <s v="Black and White"/>
    <s v="North Carolina"/>
    <s v="South"/>
    <s v="N"/>
    <s v="F2F"/>
    <s v="AROI"/>
    <s v="Y"/>
    <s v="nonracial attitude, nonracial fact, racial attitude, racial fact "/>
    <s v="N"/>
    <x v="0"/>
    <n v="4"/>
    <n v="6"/>
    <n v="2"/>
    <n v="1"/>
    <n v="0.5"/>
    <n v="0"/>
    <n v="1"/>
    <n v="1"/>
    <m/>
    <m/>
    <m/>
    <m/>
    <m/>
    <m/>
    <m/>
    <m/>
    <m/>
    <m/>
    <m/>
    <m/>
    <m/>
    <m/>
    <m/>
    <m/>
    <s v="N"/>
    <x v="1"/>
    <s v="Y"/>
    <s v="N"/>
    <s v="Y"/>
    <s v="N"/>
    <s v="before 1985"/>
    <s v="before 1980"/>
    <n v="1"/>
    <n v="3"/>
    <m/>
    <n v="1"/>
    <n v="0"/>
    <n v="4"/>
    <n v="1"/>
    <n v="0"/>
    <n v="0"/>
    <n v="0"/>
    <n v="0"/>
    <n v="0"/>
    <n v="0"/>
    <n v="0"/>
    <n v="0"/>
    <n v="1"/>
    <n v="2"/>
    <n v="13"/>
    <n v="6"/>
    <n v="0.46153846153846156"/>
  </r>
  <r>
    <s v="Wilson"/>
    <n v="2002"/>
    <s v="2000-2012"/>
    <x v="1"/>
    <s v="Black and White"/>
    <s v="United States"/>
    <s v="US"/>
    <s v="Y"/>
    <s v="telephone"/>
    <s v="AROI"/>
    <s v="Y"/>
    <s v="nonracial attitude, racial attitude"/>
    <s v="N"/>
    <x v="0"/>
    <n v="4"/>
    <n v="0"/>
    <n v="18"/>
    <n v="0"/>
    <n v="0.25"/>
    <m/>
    <n v="0.05"/>
    <m/>
    <n v="4"/>
    <n v="0"/>
    <n v="18"/>
    <n v="0"/>
    <n v="0.5"/>
    <m/>
    <n v="0.05"/>
    <m/>
    <m/>
    <m/>
    <m/>
    <m/>
    <m/>
    <m/>
    <m/>
    <m/>
    <s v="N"/>
    <x v="0"/>
    <s v="N"/>
    <s v="N"/>
    <s v="N"/>
    <s v="N"/>
    <s v="1985 and after"/>
    <s v="2000-2016"/>
    <n v="8"/>
    <n v="1"/>
    <m/>
    <n v="1"/>
    <n v="0"/>
    <n v="0.2"/>
    <n v="0"/>
    <n v="2"/>
    <n v="0"/>
    <n v="0.9"/>
    <n v="0"/>
    <n v="0"/>
    <n v="0"/>
    <n v="0"/>
    <n v="0"/>
    <n v="1"/>
    <n v="0"/>
    <n v="44"/>
    <n v="4"/>
    <n v="9.0909090909090912E-2"/>
  </r>
  <r>
    <s v="Wilson, Gonzales, and Davis"/>
    <n v="2013"/>
    <s v="1982-1999"/>
    <x v="2"/>
    <s v="Black and White"/>
    <s v="United States"/>
    <s v="US"/>
    <s v="Y"/>
    <s v="F2F"/>
    <s v="AROI"/>
    <s v="N"/>
    <s v="racial attitude"/>
    <s v="N"/>
    <x v="0"/>
    <m/>
    <m/>
    <m/>
    <m/>
    <m/>
    <m/>
    <m/>
    <m/>
    <n v="0"/>
    <n v="0"/>
    <n v="1"/>
    <n v="0"/>
    <m/>
    <m/>
    <n v="1"/>
    <m/>
    <m/>
    <m/>
    <m/>
    <m/>
    <m/>
    <m/>
    <m/>
    <m/>
    <s v="Y"/>
    <x v="0"/>
    <s v="N"/>
    <s v="Y"/>
    <s v="Y"/>
    <s v="N"/>
    <s v="1985 and after"/>
    <s v="1980-2000"/>
    <n v="9"/>
    <n v="3"/>
    <m/>
    <n v="1"/>
    <n v="0"/>
    <n v="0"/>
    <n v="0"/>
    <n v="0"/>
    <n v="0"/>
    <n v="1"/>
    <n v="0"/>
    <n v="0"/>
    <n v="0"/>
    <n v="0"/>
    <n v="0"/>
    <n v="1"/>
    <n v="2"/>
    <n v="1"/>
    <n v="2"/>
    <n v="2"/>
  </r>
  <r>
    <s v="Wilson, Gonzales, and Davis"/>
    <n v="2013"/>
    <s v="2000-2012"/>
    <x v="2"/>
    <s v="Black and White"/>
    <s v="United States"/>
    <s v="US"/>
    <s v="Y"/>
    <s v="F2F"/>
    <s v="AROI"/>
    <s v="N"/>
    <s v="racial attitude"/>
    <s v="N"/>
    <x v="0"/>
    <m/>
    <m/>
    <m/>
    <m/>
    <m/>
    <m/>
    <m/>
    <m/>
    <n v="0"/>
    <n v="0"/>
    <n v="1"/>
    <n v="0"/>
    <m/>
    <m/>
    <n v="1"/>
    <m/>
    <m/>
    <m/>
    <m/>
    <m/>
    <m/>
    <m/>
    <m/>
    <m/>
    <s v="Y"/>
    <x v="0"/>
    <s v="N"/>
    <s v="Y"/>
    <s v="Y"/>
    <s v="N"/>
    <s v="1985 and after"/>
    <s v="2000-2016"/>
    <n v="9"/>
    <n v="3"/>
    <m/>
    <n v="1"/>
    <n v="0"/>
    <n v="0"/>
    <n v="0"/>
    <n v="0"/>
    <n v="0"/>
    <n v="1"/>
    <n v="0"/>
    <n v="0"/>
    <n v="0"/>
    <n v="0"/>
    <n v="0"/>
    <n v="1"/>
    <n v="2"/>
    <n v="1"/>
    <n v="2"/>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Anderson, Silver, and Abramson (attitudes)"/>
    <n v="1988"/>
    <s v="NA"/>
    <x v="0"/>
    <s v="Black and White"/>
    <s v="United States"/>
    <s v="US"/>
    <s v="Y"/>
    <s v="F2F"/>
    <s v="AROI"/>
    <s v="N"/>
    <s v="nonracial attitude, racial attitude"/>
    <x v="0"/>
    <x v="0"/>
    <n v="2"/>
    <n v="0"/>
    <n v="8"/>
    <n v="0"/>
    <n v="0.5"/>
    <m/>
    <n v="0.625"/>
    <m/>
    <m/>
    <m/>
    <m/>
    <m/>
    <m/>
    <m/>
    <m/>
    <m/>
    <m/>
    <m/>
    <m/>
    <m/>
    <m/>
    <m/>
    <m/>
    <m/>
    <x v="0"/>
    <s v="subset"/>
    <s v="N"/>
    <s v="N"/>
    <s v="Y"/>
    <s v="N"/>
    <s v="1985 and after"/>
    <s v="1980-2000"/>
    <n v="2"/>
    <n v="1"/>
  </r>
  <r>
    <s v="Anderson, Silver, and Abramson (voting)"/>
    <n v="1988"/>
    <s v="NA"/>
    <x v="0"/>
    <s v="Black and White"/>
    <s v="United States"/>
    <s v="US"/>
    <s v="Y"/>
    <s v="F2F"/>
    <s v="AROI"/>
    <s v="N"/>
    <s v="nonracial attitude"/>
    <x v="0"/>
    <x v="0"/>
    <n v="6"/>
    <n v="0"/>
    <n v="0"/>
    <n v="0"/>
    <n v="0"/>
    <m/>
    <m/>
    <m/>
    <m/>
    <m/>
    <m/>
    <m/>
    <m/>
    <m/>
    <m/>
    <m/>
    <m/>
    <m/>
    <m/>
    <m/>
    <m/>
    <m/>
    <m/>
    <m/>
    <x v="0"/>
    <s v="subset"/>
    <s v="N"/>
    <s v="N"/>
    <s v="Y"/>
    <s v="N"/>
    <s v="1985 and after"/>
    <s v="1980-2000"/>
    <n v="2"/>
    <n v="1"/>
  </r>
  <r>
    <s v="Belk, Huffmon, and Lawrence"/>
    <n v="2013"/>
    <s v="2000-2012"/>
    <x v="0"/>
    <s v="Black and White"/>
    <s v="11 southern states"/>
    <s v="South"/>
    <s v="N"/>
    <s v="telephone"/>
    <s v="AROI"/>
    <s v="Y"/>
    <s v="nonracial attitude, racial attitude"/>
    <x v="0"/>
    <x v="1"/>
    <n v="7"/>
    <n v="0"/>
    <n v="6"/>
    <n v="0"/>
    <n v="0"/>
    <m/>
    <n v="0.83"/>
    <m/>
    <m/>
    <m/>
    <m/>
    <m/>
    <m/>
    <m/>
    <m/>
    <m/>
    <m/>
    <m/>
    <m/>
    <m/>
    <m/>
    <m/>
    <m/>
    <m/>
    <x v="0"/>
    <s v="subset"/>
    <s v="N"/>
    <s v="Y"/>
    <s v="N"/>
    <s v="N"/>
    <s v="1985 and after"/>
    <s v="2000-2016"/>
    <n v="11"/>
    <n v="3"/>
  </r>
  <r>
    <s v="Cody, Davis, and Wilson"/>
    <n v="2010"/>
    <s v="1982-1999"/>
    <x v="0"/>
    <s v="Black and White"/>
    <s v="United States"/>
    <s v="US"/>
    <s v="Y"/>
    <s v="telephone"/>
    <s v="AROI"/>
    <s v="Y"/>
    <s v="racial attitude"/>
    <x v="0"/>
    <x v="0"/>
    <n v="0"/>
    <n v="0"/>
    <n v="10"/>
    <n v="0"/>
    <m/>
    <m/>
    <n v="0.8"/>
    <m/>
    <m/>
    <m/>
    <m/>
    <m/>
    <m/>
    <m/>
    <m/>
    <m/>
    <m/>
    <m/>
    <m/>
    <m/>
    <m/>
    <m/>
    <m/>
    <m/>
    <x v="1"/>
    <s v="subset"/>
    <s v="N"/>
    <s v="Y"/>
    <s v="Y"/>
    <s v="N"/>
    <s v="1985 and after"/>
    <s v="2000-2016"/>
    <n v="6"/>
    <n v="4"/>
  </r>
  <r>
    <s v="Cotter, Cohen, and Coulter"/>
    <n v="1982"/>
    <s v="1982-1999"/>
    <x v="1"/>
    <s v="Black and White"/>
    <s v="Alabama"/>
    <s v="South"/>
    <s v="N"/>
    <s v="telephone"/>
    <s v="AROI"/>
    <s v="Y"/>
    <s v="nonracial attitude, racial attitude"/>
    <x v="1"/>
    <x v="0"/>
    <n v="10"/>
    <n v="0"/>
    <n v="13"/>
    <n v="0"/>
    <n v="0"/>
    <m/>
    <n v="0.08"/>
    <m/>
    <n v="10"/>
    <n v="0"/>
    <n v="13"/>
    <n v="0"/>
    <n v="0"/>
    <m/>
    <n v="0.69"/>
    <m/>
    <m/>
    <m/>
    <m/>
    <m/>
    <m/>
    <m/>
    <m/>
    <m/>
    <x v="0"/>
    <s v="entire survey"/>
    <s v="Y"/>
    <s v="N"/>
    <s v="Y"/>
    <s v="N"/>
    <s v="before 1985"/>
    <s v="1980-2000"/>
    <n v="2"/>
    <n v="3"/>
  </r>
  <r>
    <s v="Davis (direction)"/>
    <n v="1997"/>
    <s v="1982-1999"/>
    <x v="0"/>
    <s v="Black and White"/>
    <s v="United States"/>
    <s v="US"/>
    <s v="Y"/>
    <s v="telephone"/>
    <s v="AROI"/>
    <s v="Y"/>
    <s v="racial attitude"/>
    <x v="1"/>
    <x v="0"/>
    <n v="0"/>
    <n v="0"/>
    <n v="6"/>
    <n v="0"/>
    <m/>
    <m/>
    <n v="1"/>
    <m/>
    <m/>
    <m/>
    <m/>
    <m/>
    <m/>
    <m/>
    <m/>
    <m/>
    <m/>
    <m/>
    <m/>
    <m/>
    <m/>
    <m/>
    <m/>
    <m/>
    <x v="0"/>
    <s v="subset"/>
    <s v="N"/>
    <s v="N"/>
    <s v="N"/>
    <s v="N"/>
    <s v="1985 and after"/>
    <s v="1980-2000"/>
    <n v="9"/>
    <n v="1"/>
  </r>
  <r>
    <s v="Davis (nonrandom)"/>
    <n v="1997"/>
    <s v="1982-1999"/>
    <x v="0"/>
    <s v="Black and White"/>
    <s v="United States"/>
    <s v="US"/>
    <s v="Y"/>
    <s v="telephone"/>
    <s v="AROI"/>
    <s v="Y"/>
    <s v="racial attitude"/>
    <x v="0"/>
    <x v="1"/>
    <n v="0"/>
    <n v="0"/>
    <n v="10"/>
    <n v="0"/>
    <m/>
    <m/>
    <m/>
    <m/>
    <m/>
    <m/>
    <m/>
    <m/>
    <m/>
    <m/>
    <m/>
    <m/>
    <m/>
    <m/>
    <m/>
    <m/>
    <m/>
    <m/>
    <m/>
    <m/>
    <x v="0"/>
    <s v="subset"/>
    <s v="N"/>
    <s v="N"/>
    <s v="N"/>
    <s v="N"/>
    <s v="1985 and after"/>
    <s v="1980-2000"/>
    <n v="10"/>
    <n v="1"/>
  </r>
  <r>
    <s v="Davis and Silver"/>
    <n v="2003"/>
    <s v="2000-2012"/>
    <x v="1"/>
    <s v="Black and White"/>
    <s v="Michigan"/>
    <s v="Non-south"/>
    <s v="N"/>
    <s v="telephone"/>
    <s v="AROI"/>
    <s v="Y"/>
    <s v="nonracial fact"/>
    <x v="1"/>
    <x v="0"/>
    <n v="0"/>
    <n v="1"/>
    <n v="0"/>
    <n v="0"/>
    <m/>
    <n v="0"/>
    <m/>
    <m/>
    <n v="0"/>
    <n v="1"/>
    <n v="0"/>
    <n v="0"/>
    <m/>
    <n v="0"/>
    <m/>
    <m/>
    <m/>
    <m/>
    <m/>
    <m/>
    <m/>
    <m/>
    <m/>
    <m/>
    <x v="0"/>
    <s v="subset"/>
    <s v="Y"/>
    <s v="N"/>
    <s v="N"/>
    <m/>
    <s v="1985 and after"/>
    <s v="2000-2016"/>
    <n v="5"/>
    <n v="3"/>
  </r>
  <r>
    <s v="Finkel, Guterbock, and Borg"/>
    <n v="1991"/>
    <s v="1982-1999"/>
    <x v="2"/>
    <s v="Black and White"/>
    <s v="Virginia"/>
    <s v="South"/>
    <s v="N"/>
    <s v="telephone"/>
    <s v="AROI"/>
    <s v="Y"/>
    <s v="racial attitude"/>
    <x v="0"/>
    <x v="0"/>
    <m/>
    <m/>
    <m/>
    <m/>
    <m/>
    <m/>
    <m/>
    <m/>
    <n v="0"/>
    <n v="0"/>
    <n v="2"/>
    <n v="0"/>
    <m/>
    <m/>
    <n v="0"/>
    <m/>
    <m/>
    <m/>
    <m/>
    <m/>
    <m/>
    <m/>
    <m/>
    <m/>
    <x v="0"/>
    <s v="subset"/>
    <s v="N"/>
    <s v="N"/>
    <s v="N"/>
    <s v="N"/>
    <s v="1985 and after"/>
    <s v="1980-2000"/>
    <n v="6"/>
    <n v="1"/>
  </r>
  <r>
    <s v="Hatchett and Schuman"/>
    <n v="1975"/>
    <s v="1942-1979"/>
    <x v="2"/>
    <s v="Black and White"/>
    <s v="Detroit"/>
    <s v="Non-south"/>
    <s v="N"/>
    <s v="F2F"/>
    <s v="AROI"/>
    <s v="Y"/>
    <s v="racial attitude"/>
    <x v="0"/>
    <x v="0"/>
    <m/>
    <m/>
    <m/>
    <m/>
    <m/>
    <m/>
    <m/>
    <m/>
    <n v="0"/>
    <n v="0"/>
    <n v="4"/>
    <n v="0"/>
    <m/>
    <m/>
    <n v="0.75"/>
    <m/>
    <m/>
    <m/>
    <m/>
    <m/>
    <m/>
    <m/>
    <m/>
    <m/>
    <x v="0"/>
    <s v="subset"/>
    <s v="N"/>
    <s v="N"/>
    <s v="Y"/>
    <s v="N"/>
    <s v="before 1985"/>
    <s v="before 1980"/>
    <n v="2"/>
    <n v="2"/>
  </r>
  <r>
    <s v="Holbrook et al."/>
    <n v="2019"/>
    <s v="2000-2012"/>
    <x v="3"/>
    <s v="Non-Hispanic White, Non-Hispanic Black and Hispanic"/>
    <s v="Chicago"/>
    <s v="Non-south"/>
    <s v="N"/>
    <s v="telephone"/>
    <s v="AROI"/>
    <s v="Y"/>
    <s v="racial attitude"/>
    <x v="0"/>
    <x v="1"/>
    <m/>
    <m/>
    <m/>
    <m/>
    <m/>
    <m/>
    <m/>
    <m/>
    <m/>
    <m/>
    <m/>
    <m/>
    <m/>
    <m/>
    <m/>
    <m/>
    <m/>
    <m/>
    <m/>
    <m/>
    <m/>
    <m/>
    <m/>
    <m/>
    <x v="1"/>
    <s v="subset"/>
    <s v="N"/>
    <s v="Y"/>
    <s v="Y"/>
    <s v="N"/>
    <s v="1985 and after"/>
    <s v="2000-2016"/>
    <n v="19"/>
    <n v="4"/>
  </r>
  <r>
    <s v="Huang"/>
    <n v="2009"/>
    <s v="1982-1999"/>
    <x v="1"/>
    <s v="Black and White"/>
    <s v="United States"/>
    <s v="US"/>
    <s v="Y"/>
    <s v="F2F"/>
    <s v="AROI"/>
    <s v="N"/>
    <s v="nonracial fact"/>
    <x v="0"/>
    <x v="1"/>
    <n v="0"/>
    <n v="1"/>
    <n v="0"/>
    <n v="0"/>
    <m/>
    <n v="1"/>
    <m/>
    <m/>
    <n v="0"/>
    <n v="1"/>
    <n v="0"/>
    <n v="0"/>
    <m/>
    <n v="0"/>
    <m/>
    <m/>
    <m/>
    <m/>
    <m/>
    <m/>
    <m/>
    <m/>
    <m/>
    <m/>
    <x v="1"/>
    <s v="subset"/>
    <s v="N"/>
    <s v="N"/>
    <s v="Y"/>
    <s v="N"/>
    <s v="1985 and after"/>
    <s v="2000-2016"/>
    <n v="3"/>
    <n v="2"/>
  </r>
  <r>
    <s v="Hutcheson, Prather, and Snow"/>
    <n v="1979"/>
    <s v="1942-1979"/>
    <x v="1"/>
    <s v="Black and White"/>
    <s v="large SMSA"/>
    <s v="South"/>
    <s v="N"/>
    <s v="F2F"/>
    <s v="AROI"/>
    <s v="N"/>
    <s v="nonracial attitude, nonracial fact"/>
    <x v="1"/>
    <x v="0"/>
    <n v="2"/>
    <n v="1"/>
    <n v="0"/>
    <n v="0"/>
    <n v="1"/>
    <n v="1"/>
    <m/>
    <m/>
    <n v="2"/>
    <n v="1"/>
    <n v="0"/>
    <n v="0"/>
    <n v="1"/>
    <n v="1"/>
    <m/>
    <m/>
    <m/>
    <m/>
    <m/>
    <m/>
    <m/>
    <m/>
    <m/>
    <m/>
    <x v="0"/>
    <s v="subset"/>
    <s v="N"/>
    <s v="N"/>
    <s v="Y"/>
    <s v="N"/>
    <s v="before 1985"/>
    <s v="before 1980"/>
    <n v="4"/>
    <n v="1"/>
  </r>
  <r>
    <s v="Hyman"/>
    <n v="1954"/>
    <s v="1942-1979"/>
    <x v="0"/>
    <s v="Black and White"/>
    <s v="Memphis"/>
    <s v="South"/>
    <s v="N"/>
    <s v="F2F"/>
    <s v="AROI"/>
    <s v="Y"/>
    <s v="racial attitude"/>
    <x v="1"/>
    <x v="0"/>
    <n v="8"/>
    <n v="0"/>
    <n v="17"/>
    <n v="0"/>
    <n v="0.875"/>
    <m/>
    <n v="0.88235300000000005"/>
    <m/>
    <m/>
    <m/>
    <m/>
    <m/>
    <m/>
    <m/>
    <m/>
    <m/>
    <m/>
    <m/>
    <m/>
    <m/>
    <m/>
    <m/>
    <m/>
    <m/>
    <x v="0"/>
    <s v="uncertain"/>
    <s v="N"/>
    <s v="N"/>
    <s v="N"/>
    <s v="N"/>
    <s v="before 1985"/>
    <s v="before 1980"/>
    <n v="0"/>
    <n v="1"/>
  </r>
  <r>
    <s v="Keeter"/>
    <n v="1990"/>
    <s v="1982-1999"/>
    <x v="1"/>
    <s v="Black and White"/>
    <s v="Virginia"/>
    <s v="South"/>
    <s v="N"/>
    <s v="telephone"/>
    <s v="AROI"/>
    <s v="N"/>
    <s v="racial attitude"/>
    <x v="0"/>
    <x v="0"/>
    <n v="0"/>
    <n v="0"/>
    <n v="1"/>
    <n v="0"/>
    <m/>
    <m/>
    <n v="1"/>
    <m/>
    <n v="0"/>
    <n v="0"/>
    <n v="1"/>
    <n v="0"/>
    <m/>
    <m/>
    <n v="1"/>
    <m/>
    <m/>
    <m/>
    <m/>
    <m/>
    <m/>
    <m/>
    <m/>
    <m/>
    <x v="0"/>
    <s v="uncertain"/>
    <s v="N"/>
    <s v="N"/>
    <s v="N"/>
    <s v="N"/>
    <s v="1985 and after"/>
    <s v="1980-2000"/>
    <n v="4"/>
    <n v="0"/>
  </r>
  <r>
    <s v="Lind, Oldendick, Hall, Rose, and Shealy"/>
    <n v="2001"/>
    <s v="2000-2012"/>
    <x v="1"/>
    <s v="Black and White"/>
    <s v="South Carolina"/>
    <s v="South"/>
    <s v="N"/>
    <s v="telephone"/>
    <s v="AROI"/>
    <s v="N"/>
    <s v="racial attitude"/>
    <x v="1"/>
    <x v="0"/>
    <n v="0"/>
    <n v="0"/>
    <n v="1"/>
    <n v="0"/>
    <m/>
    <m/>
    <n v="0"/>
    <m/>
    <n v="0"/>
    <n v="0"/>
    <n v="1"/>
    <n v="0"/>
    <m/>
    <m/>
    <n v="0"/>
    <m/>
    <m/>
    <m/>
    <m/>
    <m/>
    <m/>
    <m/>
    <m/>
    <m/>
    <x v="0"/>
    <s v="subset"/>
    <s v="N"/>
    <s v="N"/>
    <s v="N"/>
    <s v="N"/>
    <s v="1985 and after"/>
    <s v="2000-2016"/>
    <n v="4"/>
    <n v="0"/>
  </r>
  <r>
    <s v="Link and Oldendick"/>
    <n v="1998"/>
    <s v="1982-1999"/>
    <x v="1"/>
    <s v="Black and White"/>
    <s v="southern state"/>
    <s v="South"/>
    <s v="N"/>
    <s v="telephone"/>
    <s v="AROI"/>
    <s v="N"/>
    <s v="nonracial attitude, racial attitude"/>
    <x v="0"/>
    <x v="0"/>
    <n v="2"/>
    <n v="0"/>
    <n v="1"/>
    <n v="0"/>
    <n v="0"/>
    <m/>
    <n v="0"/>
    <m/>
    <n v="2"/>
    <n v="0"/>
    <n v="1"/>
    <n v="0"/>
    <n v="0"/>
    <m/>
    <n v="1"/>
    <m/>
    <m/>
    <m/>
    <m/>
    <m/>
    <m/>
    <m/>
    <m/>
    <m/>
    <x v="0"/>
    <s v="subset"/>
    <s v="N"/>
    <s v="N"/>
    <s v="N"/>
    <s v="N"/>
    <s v="1985 and after"/>
    <s v="1980-2000"/>
    <n v="5"/>
    <n v="0"/>
  </r>
  <r>
    <s v="Liu and Wang"/>
    <n v="2016"/>
    <s v="2000-2012"/>
    <x v="3"/>
    <s v="Non-Hispanic White, Non-Hispanic Black and Hispanic"/>
    <s v="United States"/>
    <s v="US"/>
    <s v="Y"/>
    <s v="F2F"/>
    <s v="AROI"/>
    <s v="N"/>
    <s v="racial attitude"/>
    <x v="0"/>
    <x v="1"/>
    <n v="0"/>
    <n v="0"/>
    <n v="6"/>
    <n v="0"/>
    <m/>
    <m/>
    <n v="1"/>
    <m/>
    <n v="0"/>
    <n v="0"/>
    <n v="6"/>
    <n v="0"/>
    <m/>
    <m/>
    <n v="1"/>
    <m/>
    <n v="0"/>
    <n v="0"/>
    <n v="6"/>
    <n v="0"/>
    <m/>
    <m/>
    <n v="1"/>
    <m/>
    <x v="1"/>
    <s v="subset"/>
    <s v="N"/>
    <s v="N"/>
    <s v="N"/>
    <s v="N"/>
    <s v="1985 and after"/>
    <s v="2000-2016"/>
    <n v="8"/>
    <n v="1"/>
  </r>
  <r>
    <s v="Livert, Kadushin, Schulman, and Weiss"/>
    <n v="1998"/>
    <s v="1982-1999"/>
    <x v="1"/>
    <s v="Black and White"/>
    <s v="urban areas"/>
    <s v="South"/>
    <s v="N"/>
    <s v="telephone"/>
    <s v="AROI"/>
    <s v="Y"/>
    <s v="nonracial attitude"/>
    <x v="1"/>
    <x v="0"/>
    <n v="21"/>
    <n v="0"/>
    <n v="0"/>
    <n v="0"/>
    <n v="0.47599999999999998"/>
    <m/>
    <m/>
    <m/>
    <n v="21"/>
    <n v="0"/>
    <n v="0"/>
    <n v="0"/>
    <n v="4.8000000000000001E-2"/>
    <m/>
    <m/>
    <m/>
    <m/>
    <m/>
    <m/>
    <m/>
    <m/>
    <m/>
    <m/>
    <m/>
    <x v="1"/>
    <s v="subset"/>
    <s v="N"/>
    <s v="N"/>
    <s v="Y"/>
    <s v="N"/>
    <s v="1985 and after"/>
    <s v="1980-2000"/>
    <n v="6"/>
    <n v="3"/>
  </r>
  <r>
    <s v="Nienstadt"/>
    <n v="2009"/>
    <s v="2000-2012"/>
    <x v="4"/>
    <s v="White or Mixed and Blacks"/>
    <s v="11 states"/>
    <s v="US"/>
    <s v="N"/>
    <s v="telephone"/>
    <s v="AROI"/>
    <s v="N"/>
    <s v="racial attitude"/>
    <x v="1"/>
    <x v="0"/>
    <n v="0"/>
    <n v="0"/>
    <n v="2"/>
    <n v="0"/>
    <m/>
    <m/>
    <n v="0.5"/>
    <m/>
    <n v="0"/>
    <n v="0"/>
    <n v="2"/>
    <n v="0"/>
    <m/>
    <m/>
    <n v="0.5"/>
    <m/>
    <m/>
    <m/>
    <m/>
    <m/>
    <m/>
    <m/>
    <m/>
    <m/>
    <x v="0"/>
    <s v="subset"/>
    <s v="N"/>
    <s v="Y"/>
    <s v="Y"/>
    <s v="N"/>
    <s v="1985 and after"/>
    <s v="2000-2016"/>
    <n v="5"/>
    <n v="2"/>
  </r>
  <r>
    <s v="Price and Searles"/>
    <n v="1961"/>
    <s v="1942-1979"/>
    <x v="0"/>
    <s v="Black and White"/>
    <s v="North Carolina"/>
    <s v="South"/>
    <s v="N"/>
    <s v="F2F"/>
    <s v="AROI"/>
    <s v="N"/>
    <s v="nonracial attitude, nonracial fact, racial attitude"/>
    <x v="1"/>
    <x v="0"/>
    <n v="4"/>
    <n v="3"/>
    <n v="3"/>
    <n v="0"/>
    <n v="0.75"/>
    <n v="0.33"/>
    <n v="0.66"/>
    <m/>
    <m/>
    <m/>
    <m/>
    <m/>
    <m/>
    <m/>
    <m/>
    <m/>
    <m/>
    <m/>
    <m/>
    <m/>
    <m/>
    <m/>
    <m/>
    <m/>
    <x v="0"/>
    <s v="uncertain"/>
    <s v="N"/>
    <s v="N"/>
    <s v="Y"/>
    <s v="N"/>
    <s v="before 1985"/>
    <s v="before 1980"/>
    <n v="1"/>
    <n v="1"/>
  </r>
  <r>
    <s v="Reese, Danielson, Shoemaker, Chang, and Hsu"/>
    <n v="1986"/>
    <s v="1982-1999"/>
    <x v="5"/>
    <s v="Hispanic and Anglo"/>
    <s v="Texas"/>
    <s v="South"/>
    <s v="N"/>
    <s v="telephone"/>
    <s v="AROI"/>
    <s v="Y"/>
    <s v="racial attitude, racial fact"/>
    <x v="1"/>
    <x v="0"/>
    <m/>
    <m/>
    <m/>
    <m/>
    <m/>
    <m/>
    <m/>
    <m/>
    <m/>
    <m/>
    <m/>
    <m/>
    <m/>
    <m/>
    <m/>
    <m/>
    <n v="0"/>
    <n v="0"/>
    <n v="7"/>
    <n v="6"/>
    <m/>
    <m/>
    <n v="0"/>
    <n v="0.33"/>
    <x v="1"/>
    <s v="entire survey"/>
    <s v="Y"/>
    <s v="N"/>
    <s v="N"/>
    <s v="N"/>
    <s v="1985 and after"/>
    <s v="1980-2000"/>
    <n v="5"/>
    <n v="3"/>
  </r>
  <r>
    <s v="Savage"/>
    <n v="2016"/>
    <s v="2000-2012"/>
    <x v="1"/>
    <s v="Black and White"/>
    <s v="United States"/>
    <s v="US"/>
    <s v="Y"/>
    <s v="F2F"/>
    <s v="AROI"/>
    <s v="N"/>
    <s v="nonracial attitude"/>
    <x v="0"/>
    <x v="0"/>
    <n v="5"/>
    <n v="0"/>
    <n v="0"/>
    <n v="0"/>
    <n v="0.6"/>
    <m/>
    <m/>
    <m/>
    <n v="5"/>
    <n v="0"/>
    <n v="0"/>
    <n v="0"/>
    <n v="0.2"/>
    <m/>
    <m/>
    <m/>
    <m/>
    <m/>
    <m/>
    <m/>
    <m/>
    <m/>
    <m/>
    <m/>
    <x v="0"/>
    <s v="subset"/>
    <s v="N"/>
    <s v="N"/>
    <s v="N"/>
    <s v="N"/>
    <s v="1985 and after"/>
    <s v="2000-2016"/>
    <n v="9"/>
    <n v="0"/>
  </r>
  <r>
    <s v="Schaeffer"/>
    <n v="1980"/>
    <s v="1942-1979"/>
    <x v="1"/>
    <s v="Black and White"/>
    <s v="United States"/>
    <s v="US"/>
    <s v="Y"/>
    <s v="F2F"/>
    <s v="AROI"/>
    <s v="N"/>
    <s v="nonracial attitude, racial attitude"/>
    <x v="1"/>
    <x v="0"/>
    <n v="3"/>
    <n v="0"/>
    <n v="3"/>
    <n v="0"/>
    <n v="0.33"/>
    <m/>
    <n v="0"/>
    <m/>
    <n v="3"/>
    <n v="0"/>
    <n v="5"/>
    <n v="0"/>
    <n v="0"/>
    <m/>
    <n v="0.6"/>
    <m/>
    <m/>
    <m/>
    <m/>
    <m/>
    <m/>
    <m/>
    <m/>
    <m/>
    <x v="1"/>
    <s v="subset"/>
    <s v="N"/>
    <s v="Y"/>
    <s v="N"/>
    <s v="N"/>
    <s v="before 1985"/>
    <s v="1980-2000"/>
    <n v="5"/>
    <n v="2"/>
  </r>
  <r>
    <s v="Schuman and Converse"/>
    <n v="1971"/>
    <s v="1942-1979"/>
    <x v="0"/>
    <s v="Black and White"/>
    <s v="Detroit"/>
    <s v="Non-south"/>
    <s v="N"/>
    <s v="F2F"/>
    <s v="AROI"/>
    <s v="Y"/>
    <s v="nonracial attitude, nonracial fact, racial attitude, racial fact "/>
    <x v="1"/>
    <x v="0"/>
    <n v="29"/>
    <n v="47"/>
    <n v="40"/>
    <n v="14"/>
    <n v="0.14000000000000001"/>
    <n v="0.19"/>
    <n v="0.37"/>
    <n v="0.43"/>
    <m/>
    <m/>
    <m/>
    <m/>
    <m/>
    <m/>
    <m/>
    <m/>
    <m/>
    <m/>
    <m/>
    <m/>
    <m/>
    <m/>
    <m/>
    <m/>
    <x v="0"/>
    <s v="entire survey"/>
    <s v="Y"/>
    <s v="Y"/>
    <s v="Y"/>
    <s v="N"/>
    <s v="before 1985"/>
    <s v="before 1980"/>
    <n v="3"/>
    <n v="4"/>
  </r>
  <r>
    <s v="Schuman and Hatchett"/>
    <n v="1974"/>
    <s v="1942-1979"/>
    <x v="0"/>
    <s v="Black and White"/>
    <s v="Detroit"/>
    <s v="Non-south"/>
    <s v="N"/>
    <s v="F2F"/>
    <s v="AROI"/>
    <s v="Y"/>
    <s v="nonracial attitude, racial attitude"/>
    <x v="0"/>
    <x v="0"/>
    <n v="8"/>
    <n v="0"/>
    <n v="11"/>
    <n v="0"/>
    <n v="0.88"/>
    <m/>
    <n v="0.36"/>
    <m/>
    <m/>
    <m/>
    <m/>
    <m/>
    <m/>
    <m/>
    <m/>
    <m/>
    <m/>
    <m/>
    <m/>
    <m/>
    <m/>
    <m/>
    <m/>
    <m/>
    <x v="0"/>
    <s v="subset"/>
    <s v="N"/>
    <s v="N"/>
    <s v="Y"/>
    <s v="N"/>
    <s v="before 1985"/>
    <s v="before 1980"/>
    <n v="2"/>
    <n v="2"/>
  </r>
  <r>
    <s v="Shosteck"/>
    <n v="1977"/>
    <s v="1942-1979"/>
    <x v="0"/>
    <s v="Black and White"/>
    <s v="Indianapolis"/>
    <s v="Non-south"/>
    <s v="N"/>
    <s v="F2F"/>
    <s v="AROI"/>
    <s v="N"/>
    <s v="nonracial attitude"/>
    <x v="1"/>
    <x v="0"/>
    <n v="1"/>
    <n v="0"/>
    <n v="0"/>
    <n v="0"/>
    <n v="1"/>
    <m/>
    <m/>
    <m/>
    <m/>
    <m/>
    <m/>
    <m/>
    <m/>
    <m/>
    <m/>
    <m/>
    <m/>
    <m/>
    <m/>
    <m/>
    <m/>
    <m/>
    <m/>
    <m/>
    <x v="0"/>
    <s v="uncertain"/>
    <s v="N"/>
    <s v="N"/>
    <s v="Y"/>
    <s v="N"/>
    <s v="before 1985"/>
    <s v="before 1980"/>
    <n v="1"/>
    <n v="1"/>
  </r>
  <r>
    <s v="Wang et al."/>
    <n v="2013"/>
    <s v="2000-2012"/>
    <x v="6"/>
    <s v="Black, White and Hispanic"/>
    <s v="United States"/>
    <s v="US"/>
    <s v="Y"/>
    <s v="F2F"/>
    <s v="AROI"/>
    <s v="N"/>
    <s v="nonracial attitude"/>
    <x v="1"/>
    <x v="0"/>
    <n v="12"/>
    <n v="0"/>
    <n v="0"/>
    <n v="0"/>
    <n v="0"/>
    <m/>
    <m/>
    <m/>
    <n v="12"/>
    <n v="0"/>
    <n v="0"/>
    <n v="0"/>
    <n v="0"/>
    <m/>
    <m/>
    <m/>
    <n v="12"/>
    <n v="0"/>
    <n v="0"/>
    <n v="0"/>
    <n v="1"/>
    <m/>
    <m/>
    <m/>
    <x v="0"/>
    <s v="subset"/>
    <s v="N"/>
    <s v="N"/>
    <s v="Y"/>
    <s v="N"/>
    <s v="1985 and after"/>
    <s v="2000-2016"/>
    <n v="0"/>
    <n v="1"/>
  </r>
  <r>
    <s v="Williams"/>
    <n v="1964"/>
    <s v="1942-1979"/>
    <x v="0"/>
    <s v="Black and White"/>
    <s v="North Carolina"/>
    <s v="South"/>
    <s v="N"/>
    <s v="F2F"/>
    <s v="AROI"/>
    <s v="Y"/>
    <s v="nonracial attitude, nonracial fact, racial attitude, racial fact "/>
    <x v="1"/>
    <x v="0"/>
    <n v="4"/>
    <n v="6"/>
    <n v="2"/>
    <n v="1"/>
    <n v="0.5"/>
    <n v="0"/>
    <n v="1"/>
    <n v="1"/>
    <m/>
    <m/>
    <m/>
    <m/>
    <m/>
    <m/>
    <m/>
    <m/>
    <m/>
    <m/>
    <m/>
    <m/>
    <m/>
    <m/>
    <m/>
    <m/>
    <x v="0"/>
    <s v="entire survey"/>
    <s v="Y"/>
    <s v="N"/>
    <s v="Y"/>
    <s v="N"/>
    <s v="before 1985"/>
    <s v="before 1980"/>
    <n v="1"/>
    <n v="3"/>
  </r>
  <r>
    <s v="Wilson"/>
    <n v="2002"/>
    <s v="2000-2012"/>
    <x v="1"/>
    <s v="Black and White"/>
    <s v="United States"/>
    <s v="US"/>
    <s v="Y"/>
    <s v="telephone"/>
    <s v="AROI"/>
    <s v="Y"/>
    <s v="nonracial attitude, racial attitude"/>
    <x v="1"/>
    <x v="0"/>
    <n v="4"/>
    <n v="0"/>
    <n v="18"/>
    <n v="0"/>
    <n v="0.25"/>
    <m/>
    <n v="0.05"/>
    <m/>
    <n v="4"/>
    <n v="0"/>
    <n v="18"/>
    <n v="0"/>
    <n v="0.5"/>
    <m/>
    <n v="0.05"/>
    <m/>
    <m/>
    <m/>
    <m/>
    <m/>
    <m/>
    <m/>
    <m/>
    <m/>
    <x v="0"/>
    <s v="subset"/>
    <s v="N"/>
    <s v="N"/>
    <s v="N"/>
    <s v="N"/>
    <s v="1985 and after"/>
    <s v="2000-2016"/>
    <n v="8"/>
    <n v="1"/>
  </r>
  <r>
    <s v="Wilson, Gonzales, and Davis"/>
    <n v="2013"/>
    <s v="1982-1999"/>
    <x v="2"/>
    <s v="Black and White"/>
    <s v="United States"/>
    <s v="US"/>
    <s v="Y"/>
    <s v="F2F"/>
    <s v="AROI"/>
    <s v="N"/>
    <s v="racial attitude"/>
    <x v="1"/>
    <x v="0"/>
    <m/>
    <m/>
    <m/>
    <m/>
    <m/>
    <m/>
    <m/>
    <m/>
    <n v="0"/>
    <n v="0"/>
    <n v="1"/>
    <n v="0"/>
    <m/>
    <m/>
    <n v="1"/>
    <m/>
    <m/>
    <m/>
    <m/>
    <m/>
    <m/>
    <m/>
    <m/>
    <m/>
    <x v="1"/>
    <s v="subset"/>
    <s v="N"/>
    <s v="Y"/>
    <s v="Y"/>
    <s v="N"/>
    <s v="1985 and after"/>
    <s v="1980-2000"/>
    <n v="9"/>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Anderson, Silver, and Abramson (attitudes)"/>
    <n v="1988"/>
    <x v="0"/>
    <x v="0"/>
    <s v="Black and White"/>
    <s v="United States"/>
    <s v="US"/>
    <s v="Y"/>
    <s v="F2F"/>
    <s v="AROI"/>
    <s v="N"/>
    <s v="nonracial attitude, racial attitude"/>
    <x v="0"/>
    <x v="0"/>
    <n v="2"/>
    <n v="0"/>
    <n v="8"/>
    <n v="0"/>
    <n v="0.5"/>
    <m/>
    <n v="0.625"/>
    <m/>
    <m/>
    <m/>
    <m/>
    <m/>
    <m/>
    <m/>
    <m/>
    <m/>
    <m/>
    <m/>
    <m/>
    <m/>
    <m/>
    <m/>
    <m/>
    <m/>
    <s v="N"/>
    <s v="subset"/>
    <s v="N"/>
    <s v="N"/>
    <s v="Y"/>
    <s v="N"/>
    <s v="1985 and after"/>
    <s v="1980-2000"/>
    <n v="2"/>
    <n v="1"/>
    <m/>
    <n v="1"/>
    <n v="0"/>
    <n v="1.25"/>
    <n v="0"/>
    <n v="0"/>
    <n v="0"/>
    <n v="0"/>
    <n v="0"/>
    <n v="0"/>
    <n v="0"/>
    <n v="0"/>
    <n v="0"/>
  </r>
  <r>
    <s v="Anderson, Silver, and Abramson (voting)"/>
    <n v="1988"/>
    <x v="0"/>
    <x v="0"/>
    <s v="Black and White"/>
    <s v="United States"/>
    <s v="US"/>
    <s v="Y"/>
    <s v="F2F"/>
    <s v="AROI"/>
    <s v="N"/>
    <s v="nonracial attitude"/>
    <x v="0"/>
    <x v="0"/>
    <n v="6"/>
    <n v="0"/>
    <n v="0"/>
    <n v="0"/>
    <n v="0"/>
    <m/>
    <m/>
    <m/>
    <m/>
    <m/>
    <m/>
    <m/>
    <m/>
    <m/>
    <m/>
    <m/>
    <m/>
    <m/>
    <m/>
    <m/>
    <m/>
    <m/>
    <m/>
    <m/>
    <s v="N"/>
    <s v="subset"/>
    <s v="N"/>
    <s v="N"/>
    <s v="Y"/>
    <s v="N"/>
    <s v="1985 and after"/>
    <s v="1980-2000"/>
    <n v="2"/>
    <n v="1"/>
    <m/>
    <n v="1"/>
    <n v="0"/>
    <n v="0"/>
    <n v="0"/>
    <n v="0"/>
    <n v="0"/>
    <n v="0"/>
    <n v="0"/>
    <n v="0"/>
    <n v="0"/>
    <n v="0"/>
    <n v="0"/>
  </r>
  <r>
    <s v="Belk, Huffmon, and Lawrence"/>
    <n v="2013"/>
    <x v="1"/>
    <x v="0"/>
    <s v="Black and White"/>
    <s v="11 southern states"/>
    <s v="South"/>
    <s v="N"/>
    <s v="telephone"/>
    <s v="AROI"/>
    <s v="Y"/>
    <s v="nonracial attitude, racial attitude"/>
    <x v="0"/>
    <x v="1"/>
    <n v="7"/>
    <n v="0"/>
    <n v="6"/>
    <n v="0"/>
    <n v="0"/>
    <m/>
    <n v="0.83"/>
    <m/>
    <m/>
    <m/>
    <m/>
    <m/>
    <m/>
    <m/>
    <m/>
    <m/>
    <m/>
    <m/>
    <m/>
    <m/>
    <m/>
    <m/>
    <m/>
    <m/>
    <s v="N"/>
    <s v="subset"/>
    <s v="N"/>
    <s v="Y"/>
    <s v="N"/>
    <s v="N"/>
    <s v="1985 and after"/>
    <s v="2000-2016"/>
    <n v="11"/>
    <n v="3"/>
    <m/>
    <n v="1"/>
    <n v="0"/>
    <n v="5.81"/>
    <n v="0"/>
    <n v="0"/>
    <n v="0"/>
    <n v="0"/>
    <n v="0"/>
    <n v="0"/>
    <n v="0"/>
    <n v="0"/>
    <n v="0"/>
  </r>
  <r>
    <s v="Cody, Davis, and Wilson"/>
    <n v="2010"/>
    <x v="2"/>
    <x v="0"/>
    <s v="Black and White"/>
    <s v="United States"/>
    <s v="US"/>
    <s v="Y"/>
    <s v="telephone"/>
    <s v="AROI"/>
    <s v="Y"/>
    <s v="racial attitude"/>
    <x v="0"/>
    <x v="0"/>
    <n v="0"/>
    <n v="0"/>
    <n v="10"/>
    <n v="0"/>
    <m/>
    <m/>
    <n v="0.8"/>
    <m/>
    <m/>
    <m/>
    <m/>
    <m/>
    <m/>
    <m/>
    <m/>
    <m/>
    <m/>
    <m/>
    <m/>
    <m/>
    <m/>
    <m/>
    <m/>
    <m/>
    <s v="Y"/>
    <s v="subset"/>
    <s v="N"/>
    <s v="Y"/>
    <s v="Y"/>
    <s v="N"/>
    <s v="1985 and after"/>
    <s v="2000-2016"/>
    <n v="6"/>
    <n v="4"/>
    <m/>
    <n v="1"/>
    <n v="0"/>
    <n v="0"/>
    <n v="0"/>
    <n v="0"/>
    <n v="0"/>
    <n v="0"/>
    <n v="0"/>
    <n v="0"/>
    <n v="0"/>
    <n v="0"/>
    <n v="0"/>
  </r>
  <r>
    <s v="Cotter, Cohen, and Coulter"/>
    <n v="1982"/>
    <x v="2"/>
    <x v="1"/>
    <s v="Black and White"/>
    <s v="Alabama"/>
    <s v="South"/>
    <s v="N"/>
    <s v="telephone"/>
    <s v="AROI"/>
    <s v="Y"/>
    <s v="nonracial attitude, racial attitude"/>
    <x v="1"/>
    <x v="0"/>
    <n v="10"/>
    <n v="0"/>
    <n v="13"/>
    <n v="0"/>
    <n v="0"/>
    <m/>
    <n v="0.08"/>
    <m/>
    <n v="10"/>
    <n v="0"/>
    <n v="13"/>
    <n v="0"/>
    <n v="0"/>
    <m/>
    <n v="0.69"/>
    <m/>
    <m/>
    <m/>
    <m/>
    <m/>
    <m/>
    <m/>
    <m/>
    <m/>
    <s v="N"/>
    <s v="entire survey"/>
    <s v="Y"/>
    <s v="N"/>
    <s v="Y"/>
    <s v="N"/>
    <s v="before 1985"/>
    <s v="1980-2000"/>
    <n v="2"/>
    <n v="3"/>
    <m/>
    <n v="1"/>
    <n v="0"/>
    <n v="0.8"/>
    <n v="0"/>
    <n v="0"/>
    <n v="0"/>
    <n v="8.9699999999999989"/>
    <n v="0"/>
    <n v="0"/>
    <n v="0"/>
    <n v="0"/>
    <n v="0"/>
  </r>
  <r>
    <s v="Davis (direction)"/>
    <n v="1997"/>
    <x v="2"/>
    <x v="0"/>
    <s v="Black and White"/>
    <s v="United States"/>
    <s v="US"/>
    <s v="Y"/>
    <s v="telephone"/>
    <s v="AROI"/>
    <s v="Y"/>
    <s v="racial attitude"/>
    <x v="1"/>
    <x v="0"/>
    <n v="0"/>
    <n v="0"/>
    <n v="6"/>
    <n v="0"/>
    <m/>
    <m/>
    <n v="1"/>
    <m/>
    <m/>
    <m/>
    <m/>
    <m/>
    <m/>
    <m/>
    <m/>
    <m/>
    <m/>
    <m/>
    <m/>
    <m/>
    <m/>
    <m/>
    <m/>
    <m/>
    <s v="N"/>
    <s v="subset"/>
    <s v="N"/>
    <s v="N"/>
    <s v="N"/>
    <s v="N"/>
    <s v="1985 and after"/>
    <s v="1980-2000"/>
    <n v="9"/>
    <n v="1"/>
    <m/>
    <n v="1"/>
    <n v="0"/>
    <n v="0"/>
    <n v="0"/>
    <n v="0"/>
    <n v="0"/>
    <n v="0"/>
    <n v="0"/>
    <n v="0"/>
    <n v="0"/>
    <n v="0"/>
    <n v="0"/>
  </r>
  <r>
    <s v="Davis (nonrandom)"/>
    <n v="1997"/>
    <x v="2"/>
    <x v="0"/>
    <s v="Black and White"/>
    <s v="United States"/>
    <s v="US"/>
    <s v="Y"/>
    <s v="telephone"/>
    <s v="AROI"/>
    <s v="Y"/>
    <s v="racial attitude"/>
    <x v="0"/>
    <x v="1"/>
    <n v="0"/>
    <n v="0"/>
    <n v="10"/>
    <n v="0"/>
    <m/>
    <m/>
    <m/>
    <m/>
    <m/>
    <m/>
    <m/>
    <m/>
    <m/>
    <m/>
    <m/>
    <m/>
    <m/>
    <m/>
    <m/>
    <m/>
    <m/>
    <m/>
    <m/>
    <m/>
    <s v="N"/>
    <s v="subset"/>
    <s v="N"/>
    <s v="N"/>
    <s v="N"/>
    <s v="N"/>
    <s v="1985 and after"/>
    <s v="1980-2000"/>
    <n v="10"/>
    <n v="1"/>
    <m/>
    <n v="1"/>
    <n v="0"/>
    <n v="0"/>
    <n v="0"/>
    <n v="0"/>
    <n v="0"/>
    <n v="0"/>
    <n v="0"/>
    <n v="0"/>
    <n v="0"/>
    <n v="0"/>
    <n v="0"/>
  </r>
  <r>
    <s v="Davis and Silver"/>
    <n v="2003"/>
    <x v="1"/>
    <x v="1"/>
    <s v="Black and White"/>
    <s v="Michigan"/>
    <s v="Non-south"/>
    <s v="N"/>
    <s v="telephone"/>
    <s v="AROI"/>
    <s v="Y"/>
    <s v="nonracial fact"/>
    <x v="1"/>
    <x v="0"/>
    <n v="0"/>
    <n v="1"/>
    <n v="0"/>
    <n v="0"/>
    <m/>
    <n v="0"/>
    <m/>
    <m/>
    <n v="0"/>
    <n v="1"/>
    <n v="0"/>
    <n v="0"/>
    <m/>
    <n v="0"/>
    <m/>
    <m/>
    <m/>
    <m/>
    <m/>
    <m/>
    <m/>
    <m/>
    <m/>
    <m/>
    <s v="N"/>
    <s v="subset"/>
    <s v="Y"/>
    <s v="N"/>
    <s v="N"/>
    <m/>
    <s v="1985 and after"/>
    <s v="2000-2016"/>
    <n v="5"/>
    <n v="3"/>
    <m/>
    <n v="1"/>
    <n v="0"/>
    <n v="0"/>
    <n v="0"/>
    <n v="0"/>
    <n v="0"/>
    <n v="0"/>
    <n v="0"/>
    <n v="0"/>
    <n v="0"/>
    <n v="0"/>
    <n v="0"/>
  </r>
  <r>
    <s v="Finkel, Guterbock, and Borg"/>
    <n v="1991"/>
    <x v="2"/>
    <x v="2"/>
    <s v="Black and White"/>
    <s v="Virginia"/>
    <s v="South"/>
    <s v="N"/>
    <s v="telephone"/>
    <s v="AROI"/>
    <s v="Y"/>
    <s v="racial attitude"/>
    <x v="0"/>
    <x v="0"/>
    <m/>
    <m/>
    <m/>
    <m/>
    <m/>
    <m/>
    <m/>
    <m/>
    <n v="0"/>
    <n v="0"/>
    <n v="2"/>
    <n v="0"/>
    <m/>
    <m/>
    <n v="0"/>
    <m/>
    <m/>
    <m/>
    <m/>
    <m/>
    <m/>
    <m/>
    <m/>
    <m/>
    <s v="N"/>
    <s v="subset"/>
    <s v="N"/>
    <s v="N"/>
    <s v="N"/>
    <s v="N"/>
    <s v="1985 and after"/>
    <s v="1980-2000"/>
    <n v="6"/>
    <n v="1"/>
    <m/>
    <n v="1"/>
    <n v="0"/>
    <n v="0"/>
    <n v="0"/>
    <n v="0"/>
    <n v="0"/>
    <n v="0"/>
    <n v="0"/>
    <n v="0"/>
    <n v="0"/>
    <n v="0"/>
    <n v="0"/>
  </r>
  <r>
    <s v="Hatchett and Schuman"/>
    <n v="1975"/>
    <x v="3"/>
    <x v="2"/>
    <s v="Black and White"/>
    <s v="Detroit"/>
    <s v="Non-south"/>
    <s v="N"/>
    <s v="F2F"/>
    <s v="AROI"/>
    <s v="Y"/>
    <s v="racial attitude"/>
    <x v="0"/>
    <x v="0"/>
    <m/>
    <m/>
    <m/>
    <m/>
    <m/>
    <m/>
    <m/>
    <m/>
    <n v="0"/>
    <n v="0"/>
    <n v="4"/>
    <n v="0"/>
    <m/>
    <m/>
    <n v="0.75"/>
    <m/>
    <m/>
    <m/>
    <m/>
    <m/>
    <m/>
    <m/>
    <m/>
    <m/>
    <s v="N"/>
    <s v="subset"/>
    <s v="N"/>
    <s v="N"/>
    <s v="Y"/>
    <s v="N"/>
    <s v="before 1985"/>
    <s v="before 1980"/>
    <n v="2"/>
    <n v="2"/>
    <m/>
    <n v="1"/>
    <n v="0"/>
    <n v="0"/>
    <n v="0"/>
    <n v="0"/>
    <n v="0"/>
    <n v="3"/>
    <n v="0"/>
    <n v="0"/>
    <n v="0"/>
    <n v="0"/>
    <n v="0"/>
  </r>
  <r>
    <s v="Holbrook et al."/>
    <n v="2019"/>
    <x v="1"/>
    <x v="3"/>
    <s v="Non-Hispanic White, Non-Hispanic Black and Hispanic"/>
    <s v="Chicago"/>
    <s v="Non-south"/>
    <s v="N"/>
    <s v="telephone"/>
    <s v="AROI"/>
    <s v="Y"/>
    <s v="racial attitude"/>
    <x v="0"/>
    <x v="1"/>
    <m/>
    <m/>
    <m/>
    <m/>
    <m/>
    <m/>
    <m/>
    <m/>
    <m/>
    <m/>
    <m/>
    <m/>
    <m/>
    <m/>
    <m/>
    <m/>
    <m/>
    <m/>
    <m/>
    <m/>
    <m/>
    <m/>
    <m/>
    <m/>
    <s v="Y"/>
    <s v="subset"/>
    <s v="N"/>
    <s v="Y"/>
    <s v="Y"/>
    <s v="N"/>
    <s v="1985 and after"/>
    <s v="2000-2016"/>
    <n v="19"/>
    <n v="4"/>
    <m/>
    <n v="1"/>
    <n v="0"/>
    <n v="0"/>
    <n v="0"/>
    <n v="0"/>
    <n v="0"/>
    <n v="0"/>
    <n v="0"/>
    <n v="0"/>
    <n v="0"/>
    <n v="0"/>
    <n v="0"/>
  </r>
  <r>
    <s v="Huang"/>
    <n v="2009"/>
    <x v="2"/>
    <x v="1"/>
    <s v="Black and White"/>
    <s v="United States"/>
    <s v="US"/>
    <s v="Y"/>
    <s v="F2F"/>
    <s v="AROI"/>
    <s v="N"/>
    <s v="nonracial fact"/>
    <x v="0"/>
    <x v="1"/>
    <n v="0"/>
    <n v="1"/>
    <n v="0"/>
    <n v="0"/>
    <m/>
    <n v="1"/>
    <m/>
    <m/>
    <n v="0"/>
    <n v="1"/>
    <n v="0"/>
    <n v="0"/>
    <m/>
    <n v="0"/>
    <m/>
    <m/>
    <m/>
    <m/>
    <m/>
    <m/>
    <m/>
    <m/>
    <m/>
    <m/>
    <s v="Y"/>
    <s v="subset"/>
    <s v="N"/>
    <s v="N"/>
    <s v="Y"/>
    <s v="N"/>
    <s v="1985 and after"/>
    <s v="2000-2016"/>
    <n v="3"/>
    <n v="2"/>
    <m/>
    <n v="1"/>
    <n v="1"/>
    <n v="0"/>
    <n v="0"/>
    <n v="0"/>
    <n v="0"/>
    <n v="0"/>
    <n v="0"/>
    <n v="0"/>
    <n v="0"/>
    <n v="0"/>
    <n v="0"/>
  </r>
  <r>
    <s v="Hutcheson, Prather, and Snow"/>
    <n v="1979"/>
    <x v="3"/>
    <x v="1"/>
    <s v="Black and White"/>
    <s v="large SMSA"/>
    <s v="South"/>
    <s v="N"/>
    <s v="F2F"/>
    <s v="AROI"/>
    <s v="N"/>
    <s v="nonracial attitude, nonracial fact"/>
    <x v="1"/>
    <x v="0"/>
    <n v="2"/>
    <n v="1"/>
    <n v="0"/>
    <n v="0"/>
    <n v="1"/>
    <n v="1"/>
    <m/>
    <m/>
    <n v="2"/>
    <n v="1"/>
    <n v="0"/>
    <n v="0"/>
    <n v="1"/>
    <n v="1"/>
    <m/>
    <m/>
    <m/>
    <m/>
    <m/>
    <m/>
    <m/>
    <m/>
    <m/>
    <m/>
    <s v="N"/>
    <s v="subset"/>
    <s v="N"/>
    <s v="N"/>
    <s v="Y"/>
    <s v="N"/>
    <s v="before 1985"/>
    <s v="before 1980"/>
    <n v="4"/>
    <n v="1"/>
    <m/>
    <n v="1"/>
    <n v="1"/>
    <n v="0"/>
    <n v="0"/>
    <n v="2"/>
    <n v="1"/>
    <n v="0"/>
    <n v="0"/>
    <n v="0"/>
    <n v="0"/>
    <n v="0"/>
    <n v="0"/>
  </r>
  <r>
    <s v="Hyman"/>
    <n v="1954"/>
    <x v="3"/>
    <x v="0"/>
    <s v="Black and White"/>
    <s v="Memphis"/>
    <s v="South"/>
    <s v="N"/>
    <s v="F2F"/>
    <s v="AROI"/>
    <s v="Y"/>
    <s v="racial attitude"/>
    <x v="1"/>
    <x v="0"/>
    <n v="8"/>
    <n v="0"/>
    <n v="17"/>
    <n v="0"/>
    <n v="0.875"/>
    <m/>
    <n v="0.88235300000000005"/>
    <m/>
    <m/>
    <m/>
    <m/>
    <m/>
    <m/>
    <m/>
    <m/>
    <m/>
    <m/>
    <m/>
    <m/>
    <m/>
    <m/>
    <m/>
    <m/>
    <m/>
    <s v="N"/>
    <s v="uncertain"/>
    <s v="N"/>
    <s v="N"/>
    <s v="N"/>
    <s v="N"/>
    <s v="before 1985"/>
    <s v="before 1980"/>
    <n v="0"/>
    <n v="1"/>
    <m/>
    <n v="1"/>
    <n v="0"/>
    <n v="7.0588240000000004"/>
    <n v="0"/>
    <n v="0"/>
    <n v="0"/>
    <n v="0"/>
    <n v="0"/>
    <n v="0"/>
    <n v="0"/>
    <n v="0"/>
    <n v="0"/>
  </r>
  <r>
    <s v="Keeter"/>
    <n v="1990"/>
    <x v="2"/>
    <x v="1"/>
    <s v="Black and White"/>
    <s v="Virginia"/>
    <s v="South"/>
    <s v="N"/>
    <s v="telephone"/>
    <s v="AROI"/>
    <s v="N"/>
    <s v="racial attitude"/>
    <x v="0"/>
    <x v="0"/>
    <n v="0"/>
    <n v="0"/>
    <n v="1"/>
    <n v="0"/>
    <m/>
    <m/>
    <n v="1"/>
    <m/>
    <n v="0"/>
    <n v="0"/>
    <n v="1"/>
    <n v="0"/>
    <m/>
    <m/>
    <n v="1"/>
    <m/>
    <m/>
    <m/>
    <m/>
    <m/>
    <m/>
    <m/>
    <m/>
    <m/>
    <s v="N"/>
    <s v="uncertain"/>
    <s v="N"/>
    <s v="N"/>
    <s v="N"/>
    <s v="N"/>
    <s v="1985 and after"/>
    <s v="1980-2000"/>
    <n v="4"/>
    <n v="0"/>
    <m/>
    <n v="1"/>
    <n v="0"/>
    <n v="0"/>
    <n v="0"/>
    <n v="0"/>
    <n v="0"/>
    <n v="1"/>
    <n v="0"/>
    <n v="0"/>
    <n v="0"/>
    <n v="0"/>
    <n v="0"/>
  </r>
  <r>
    <s v="Lind, Oldendick, Hall, Rose, and Shealy"/>
    <n v="2001"/>
    <x v="1"/>
    <x v="1"/>
    <s v="Black and White"/>
    <s v="South Carolina"/>
    <s v="South"/>
    <s v="N"/>
    <s v="telephone"/>
    <s v="AROI"/>
    <s v="N"/>
    <s v="racial attitude"/>
    <x v="1"/>
    <x v="0"/>
    <n v="0"/>
    <n v="0"/>
    <n v="1"/>
    <n v="0"/>
    <m/>
    <m/>
    <n v="0"/>
    <m/>
    <n v="0"/>
    <n v="0"/>
    <n v="1"/>
    <n v="0"/>
    <m/>
    <m/>
    <n v="0"/>
    <m/>
    <m/>
    <m/>
    <m/>
    <m/>
    <m/>
    <m/>
    <m/>
    <m/>
    <s v="N"/>
    <s v="subset"/>
    <s v="N"/>
    <s v="N"/>
    <s v="N"/>
    <s v="N"/>
    <s v="1985 and after"/>
    <s v="2000-2016"/>
    <n v="4"/>
    <n v="0"/>
    <m/>
    <n v="1"/>
    <n v="0"/>
    <n v="0"/>
    <n v="0"/>
    <n v="0"/>
    <n v="0"/>
    <n v="0"/>
    <n v="0"/>
    <n v="0"/>
    <n v="0"/>
    <n v="0"/>
    <n v="0"/>
  </r>
  <r>
    <s v="Link and Oldendick"/>
    <n v="1998"/>
    <x v="2"/>
    <x v="1"/>
    <s v="Black and White"/>
    <s v="southern state"/>
    <s v="South"/>
    <s v="N"/>
    <s v="telephone"/>
    <s v="AROI"/>
    <s v="N"/>
    <s v="nonracial attitude, racial attitude"/>
    <x v="0"/>
    <x v="0"/>
    <n v="2"/>
    <n v="0"/>
    <n v="1"/>
    <n v="0"/>
    <n v="0"/>
    <m/>
    <n v="0"/>
    <m/>
    <n v="2"/>
    <n v="0"/>
    <n v="1"/>
    <n v="0"/>
    <n v="0"/>
    <m/>
    <n v="1"/>
    <m/>
    <m/>
    <m/>
    <m/>
    <m/>
    <m/>
    <m/>
    <m/>
    <m/>
    <s v="N"/>
    <s v="subset"/>
    <s v="N"/>
    <s v="N"/>
    <s v="N"/>
    <s v="N"/>
    <s v="1985 and after"/>
    <s v="1980-2000"/>
    <n v="5"/>
    <n v="0"/>
    <m/>
    <n v="1"/>
    <n v="0"/>
    <n v="0"/>
    <n v="0"/>
    <n v="0"/>
    <n v="0"/>
    <n v="1"/>
    <n v="0"/>
    <n v="0"/>
    <n v="0"/>
    <n v="0"/>
    <n v="0"/>
  </r>
  <r>
    <s v="Liu and Wang"/>
    <n v="2016"/>
    <x v="1"/>
    <x v="3"/>
    <s v="Non-Hispanic White, Non-Hispanic Black and Hispanic"/>
    <s v="United States"/>
    <s v="US"/>
    <s v="Y"/>
    <s v="F2F"/>
    <s v="AROI"/>
    <s v="N"/>
    <s v="racial attitude"/>
    <x v="0"/>
    <x v="1"/>
    <n v="0"/>
    <n v="0"/>
    <n v="6"/>
    <n v="0"/>
    <m/>
    <m/>
    <n v="1"/>
    <m/>
    <n v="0"/>
    <n v="0"/>
    <n v="6"/>
    <n v="0"/>
    <m/>
    <m/>
    <n v="1"/>
    <m/>
    <n v="0"/>
    <n v="0"/>
    <n v="6"/>
    <n v="0"/>
    <m/>
    <m/>
    <n v="1"/>
    <m/>
    <s v="Y"/>
    <s v="subset"/>
    <s v="N"/>
    <s v="N"/>
    <s v="N"/>
    <s v="N"/>
    <s v="1985 and after"/>
    <s v="2000-2016"/>
    <n v="8"/>
    <n v="1"/>
    <m/>
    <n v="1"/>
    <n v="0"/>
    <n v="0"/>
    <n v="0"/>
    <n v="0"/>
    <n v="0"/>
    <n v="6"/>
    <n v="0"/>
    <n v="0"/>
    <n v="0"/>
    <n v="6"/>
    <n v="0"/>
  </r>
  <r>
    <s v="Livert, Kadushin, Schulman, and Weiss"/>
    <n v="1998"/>
    <x v="2"/>
    <x v="1"/>
    <s v="Black and White"/>
    <s v="urban areas"/>
    <s v="South"/>
    <s v="N"/>
    <s v="telephone"/>
    <s v="AROI"/>
    <s v="Y"/>
    <s v="nonracial attitude"/>
    <x v="1"/>
    <x v="0"/>
    <n v="21"/>
    <n v="0"/>
    <n v="0"/>
    <n v="0"/>
    <n v="0.47599999999999998"/>
    <m/>
    <m/>
    <m/>
    <n v="21"/>
    <n v="0"/>
    <n v="0"/>
    <n v="0"/>
    <n v="4.8000000000000001E-2"/>
    <m/>
    <m/>
    <m/>
    <m/>
    <m/>
    <m/>
    <m/>
    <m/>
    <m/>
    <m/>
    <m/>
    <s v="Y"/>
    <s v="subset"/>
    <s v="N"/>
    <s v="N"/>
    <s v="Y"/>
    <s v="N"/>
    <s v="1985 and after"/>
    <s v="1980-2000"/>
    <n v="6"/>
    <n v="3"/>
    <m/>
    <n v="1"/>
    <n v="0"/>
    <n v="0"/>
    <n v="0"/>
    <n v="1.008"/>
    <n v="0"/>
    <n v="0"/>
    <n v="0"/>
    <n v="0"/>
    <n v="0"/>
    <n v="0"/>
    <n v="0"/>
  </r>
  <r>
    <s v="Nienstadt"/>
    <n v="2009"/>
    <x v="1"/>
    <x v="4"/>
    <s v="White or Mixed and Blacks"/>
    <s v="11 states"/>
    <s v="US"/>
    <s v="N"/>
    <s v="telephone"/>
    <s v="AROI"/>
    <s v="N"/>
    <s v="racial attitude"/>
    <x v="1"/>
    <x v="0"/>
    <n v="0"/>
    <n v="0"/>
    <n v="2"/>
    <n v="0"/>
    <m/>
    <m/>
    <n v="0.5"/>
    <m/>
    <n v="0"/>
    <n v="0"/>
    <n v="2"/>
    <n v="0"/>
    <m/>
    <m/>
    <n v="0.5"/>
    <m/>
    <m/>
    <m/>
    <m/>
    <m/>
    <m/>
    <m/>
    <m/>
    <m/>
    <s v="N"/>
    <s v="subset"/>
    <s v="N"/>
    <s v="Y"/>
    <s v="Y"/>
    <s v="N"/>
    <s v="1985 and after"/>
    <s v="2000-2016"/>
    <n v="5"/>
    <n v="2"/>
    <m/>
    <n v="1"/>
    <n v="0"/>
    <n v="0"/>
    <n v="0"/>
    <n v="0"/>
    <n v="0"/>
    <n v="1"/>
    <n v="0"/>
    <n v="0"/>
    <n v="0"/>
    <n v="0"/>
    <n v="0"/>
  </r>
  <r>
    <s v="Price and Searles"/>
    <n v="1961"/>
    <x v="3"/>
    <x v="0"/>
    <s v="Black and White"/>
    <s v="North Carolina"/>
    <s v="South"/>
    <s v="N"/>
    <s v="F2F"/>
    <s v="AROI"/>
    <s v="N"/>
    <s v="nonracial attitude, nonracial fact, racial attitude"/>
    <x v="1"/>
    <x v="0"/>
    <n v="4"/>
    <n v="3"/>
    <n v="3"/>
    <n v="0"/>
    <n v="0.75"/>
    <n v="0.33"/>
    <n v="0.66"/>
    <m/>
    <m/>
    <m/>
    <m/>
    <m/>
    <m/>
    <m/>
    <m/>
    <m/>
    <m/>
    <m/>
    <m/>
    <m/>
    <m/>
    <m/>
    <m/>
    <m/>
    <s v="N"/>
    <s v="uncertain"/>
    <s v="N"/>
    <s v="N"/>
    <s v="Y"/>
    <s v="N"/>
    <s v="before 1985"/>
    <s v="before 1980"/>
    <n v="1"/>
    <n v="1"/>
    <m/>
    <n v="1"/>
    <n v="0.99"/>
    <n v="2.64"/>
    <n v="0"/>
    <n v="0"/>
    <n v="0"/>
    <n v="0"/>
    <n v="0"/>
    <n v="0"/>
    <n v="0"/>
    <n v="0"/>
    <n v="0"/>
  </r>
  <r>
    <s v="Reese, Danielson, Shoemaker, Chang, and Hsu"/>
    <n v="1986"/>
    <x v="2"/>
    <x v="5"/>
    <s v="Hispanic and Anglo"/>
    <s v="Texas"/>
    <s v="South"/>
    <s v="N"/>
    <s v="telephone"/>
    <s v="AROI"/>
    <s v="Y"/>
    <s v="racial attitude, racial fact"/>
    <x v="1"/>
    <x v="0"/>
    <m/>
    <m/>
    <m/>
    <m/>
    <m/>
    <m/>
    <m/>
    <m/>
    <m/>
    <m/>
    <m/>
    <m/>
    <m/>
    <m/>
    <m/>
    <m/>
    <n v="0"/>
    <n v="0"/>
    <n v="7"/>
    <n v="6"/>
    <m/>
    <m/>
    <n v="0"/>
    <n v="0.33"/>
    <s v="Y"/>
    <s v="entire survey"/>
    <s v="Y"/>
    <s v="N"/>
    <s v="N"/>
    <s v="N"/>
    <s v="1985 and after"/>
    <s v="1980-2000"/>
    <n v="5"/>
    <n v="3"/>
    <m/>
    <n v="1"/>
    <n v="0"/>
    <n v="0"/>
    <n v="0"/>
    <n v="0"/>
    <n v="0"/>
    <n v="0"/>
    <n v="0"/>
    <n v="0"/>
    <n v="0"/>
    <n v="0"/>
    <n v="1.98"/>
  </r>
  <r>
    <s v="Savage"/>
    <n v="2016"/>
    <x v="1"/>
    <x v="1"/>
    <s v="Black and White"/>
    <s v="United States"/>
    <s v="US"/>
    <s v="Y"/>
    <s v="F2F"/>
    <s v="AROI"/>
    <s v="N"/>
    <s v="nonracial attitude"/>
    <x v="0"/>
    <x v="0"/>
    <n v="5"/>
    <n v="0"/>
    <n v="0"/>
    <n v="0"/>
    <n v="0.6"/>
    <m/>
    <m/>
    <m/>
    <n v="5"/>
    <n v="0"/>
    <n v="0"/>
    <n v="0"/>
    <n v="0.2"/>
    <m/>
    <m/>
    <m/>
    <m/>
    <m/>
    <m/>
    <m/>
    <m/>
    <m/>
    <m/>
    <m/>
    <s v="N"/>
    <s v="subset"/>
    <s v="N"/>
    <s v="N"/>
    <s v="N"/>
    <s v="N"/>
    <s v="1985 and after"/>
    <s v="2000-2016"/>
    <n v="9"/>
    <n v="0"/>
    <m/>
    <n v="1"/>
    <n v="0"/>
    <n v="0"/>
    <n v="0"/>
    <n v="1"/>
    <n v="0"/>
    <n v="0"/>
    <n v="0"/>
    <n v="0"/>
    <n v="0"/>
    <n v="0"/>
    <n v="0"/>
  </r>
  <r>
    <s v="Schaeffer"/>
    <n v="1980"/>
    <x v="3"/>
    <x v="1"/>
    <s v="Black and White"/>
    <s v="United States"/>
    <s v="US"/>
    <s v="Y"/>
    <s v="F2F"/>
    <s v="AROI"/>
    <s v="N"/>
    <s v="nonracial attitude, racial attitude"/>
    <x v="1"/>
    <x v="0"/>
    <n v="3"/>
    <n v="0"/>
    <n v="3"/>
    <n v="0"/>
    <n v="0.33"/>
    <m/>
    <n v="0"/>
    <m/>
    <n v="3"/>
    <n v="0"/>
    <n v="5"/>
    <n v="0"/>
    <n v="0"/>
    <m/>
    <n v="0.6"/>
    <m/>
    <m/>
    <m/>
    <m/>
    <m/>
    <m/>
    <m/>
    <m/>
    <m/>
    <s v="Y"/>
    <s v="subset"/>
    <s v="N"/>
    <s v="Y"/>
    <s v="N"/>
    <s v="N"/>
    <s v="before 1985"/>
    <s v="1980-2000"/>
    <n v="5"/>
    <n v="2"/>
    <m/>
    <n v="1"/>
    <n v="0"/>
    <n v="0"/>
    <n v="0"/>
    <n v="0"/>
    <n v="0"/>
    <n v="3"/>
    <n v="0"/>
    <n v="0"/>
    <n v="0"/>
    <n v="0"/>
    <n v="0"/>
  </r>
  <r>
    <s v="Schuman and Converse"/>
    <n v="1971"/>
    <x v="3"/>
    <x v="0"/>
    <s v="Black and White"/>
    <s v="Detroit"/>
    <s v="Non-south"/>
    <s v="N"/>
    <s v="F2F"/>
    <s v="AROI"/>
    <s v="Y"/>
    <s v="nonracial attitude, nonracial fact, racial attitude, racial fact "/>
    <x v="1"/>
    <x v="0"/>
    <n v="29"/>
    <n v="47"/>
    <n v="40"/>
    <n v="14"/>
    <n v="0.14000000000000001"/>
    <n v="0.19"/>
    <n v="0.37"/>
    <n v="0.43"/>
    <m/>
    <m/>
    <m/>
    <m/>
    <m/>
    <m/>
    <m/>
    <m/>
    <m/>
    <m/>
    <m/>
    <m/>
    <m/>
    <m/>
    <m/>
    <m/>
    <s v="N"/>
    <s v="entire survey"/>
    <s v="Y"/>
    <s v="Y"/>
    <s v="Y"/>
    <s v="N"/>
    <s v="before 1985"/>
    <s v="before 1980"/>
    <n v="3"/>
    <n v="4"/>
    <m/>
    <n v="1"/>
    <n v="8.93"/>
    <n v="10.73"/>
    <n v="6.02"/>
    <n v="0"/>
    <n v="0"/>
    <n v="0"/>
    <n v="0"/>
    <n v="0"/>
    <n v="0"/>
    <n v="0"/>
    <n v="0"/>
  </r>
  <r>
    <s v="Schuman and Hatchett"/>
    <n v="1974"/>
    <x v="3"/>
    <x v="0"/>
    <s v="Black and White"/>
    <s v="Detroit"/>
    <s v="Non-south"/>
    <s v="N"/>
    <s v="F2F"/>
    <s v="AROI"/>
    <s v="Y"/>
    <s v="nonracial attitude, racial attitude"/>
    <x v="0"/>
    <x v="0"/>
    <n v="8"/>
    <n v="0"/>
    <n v="11"/>
    <n v="0"/>
    <n v="0.88"/>
    <m/>
    <n v="0.36"/>
    <m/>
    <m/>
    <m/>
    <m/>
    <m/>
    <m/>
    <m/>
    <m/>
    <m/>
    <m/>
    <m/>
    <m/>
    <m/>
    <m/>
    <m/>
    <m/>
    <m/>
    <s v="N"/>
    <s v="subset"/>
    <s v="N"/>
    <s v="N"/>
    <s v="Y"/>
    <s v="N"/>
    <s v="before 1985"/>
    <s v="before 1980"/>
    <n v="2"/>
    <n v="2"/>
    <m/>
    <n v="1"/>
    <n v="0"/>
    <n v="2.88"/>
    <n v="0"/>
    <n v="0"/>
    <n v="0"/>
    <n v="0"/>
    <n v="0"/>
    <n v="0"/>
    <n v="0"/>
    <n v="0"/>
    <n v="0"/>
  </r>
  <r>
    <s v="Shosteck"/>
    <n v="1977"/>
    <x v="3"/>
    <x v="0"/>
    <s v="Black and White"/>
    <s v="Indianapolis"/>
    <s v="Non-south"/>
    <s v="N"/>
    <s v="F2F"/>
    <s v="AROI"/>
    <s v="N"/>
    <s v="nonracial attitude"/>
    <x v="1"/>
    <x v="0"/>
    <n v="1"/>
    <n v="0"/>
    <n v="0"/>
    <n v="0"/>
    <n v="1"/>
    <m/>
    <m/>
    <m/>
    <m/>
    <m/>
    <m/>
    <m/>
    <m/>
    <m/>
    <m/>
    <m/>
    <m/>
    <m/>
    <m/>
    <m/>
    <m/>
    <m/>
    <m/>
    <m/>
    <s v="N"/>
    <s v="uncertain"/>
    <s v="N"/>
    <s v="N"/>
    <s v="Y"/>
    <s v="N"/>
    <s v="before 1985"/>
    <s v="before 1980"/>
    <n v="1"/>
    <n v="1"/>
    <m/>
    <n v="1"/>
    <n v="0"/>
    <n v="0"/>
    <n v="0"/>
    <n v="0"/>
    <n v="0"/>
    <n v="0"/>
    <n v="0"/>
    <n v="0"/>
    <n v="0"/>
    <n v="0"/>
    <n v="0"/>
  </r>
  <r>
    <s v="Wang et al."/>
    <n v="2013"/>
    <x v="1"/>
    <x v="6"/>
    <s v="Black, White and Hispanic"/>
    <s v="United States"/>
    <s v="US"/>
    <s v="Y"/>
    <s v="F2F"/>
    <s v="AROI"/>
    <s v="N"/>
    <s v="nonracial attitude"/>
    <x v="1"/>
    <x v="0"/>
    <n v="12"/>
    <n v="0"/>
    <n v="0"/>
    <n v="0"/>
    <n v="0"/>
    <m/>
    <m/>
    <m/>
    <n v="12"/>
    <n v="0"/>
    <n v="0"/>
    <n v="0"/>
    <n v="0"/>
    <m/>
    <m/>
    <m/>
    <n v="12"/>
    <n v="0"/>
    <n v="0"/>
    <n v="0"/>
    <n v="1"/>
    <m/>
    <m/>
    <m/>
    <s v="N"/>
    <s v="subset"/>
    <s v="N"/>
    <s v="N"/>
    <s v="Y"/>
    <s v="N"/>
    <s v="1985 and after"/>
    <s v="2000-2016"/>
    <n v="0"/>
    <n v="1"/>
    <m/>
    <n v="1"/>
    <n v="0"/>
    <n v="0"/>
    <n v="0"/>
    <n v="0"/>
    <n v="0"/>
    <n v="0"/>
    <n v="0"/>
    <n v="12"/>
    <n v="0"/>
    <n v="0"/>
    <n v="0"/>
  </r>
  <r>
    <s v="Williams"/>
    <n v="1964"/>
    <x v="3"/>
    <x v="0"/>
    <s v="Black and White"/>
    <s v="North Carolina"/>
    <s v="South"/>
    <s v="N"/>
    <s v="F2F"/>
    <s v="AROI"/>
    <s v="Y"/>
    <s v="nonracial attitude, nonracial fact, racial attitude, racial fact "/>
    <x v="1"/>
    <x v="0"/>
    <n v="4"/>
    <n v="6"/>
    <n v="2"/>
    <n v="1"/>
    <n v="0.5"/>
    <n v="0"/>
    <n v="1"/>
    <n v="1"/>
    <m/>
    <m/>
    <m/>
    <m/>
    <m/>
    <m/>
    <m/>
    <m/>
    <m/>
    <m/>
    <m/>
    <m/>
    <m/>
    <m/>
    <m/>
    <m/>
    <s v="N"/>
    <s v="entire survey"/>
    <s v="Y"/>
    <s v="N"/>
    <s v="Y"/>
    <s v="N"/>
    <s v="before 1985"/>
    <s v="before 1980"/>
    <n v="1"/>
    <n v="3"/>
    <m/>
    <n v="1"/>
    <n v="0"/>
    <n v="4"/>
    <n v="1"/>
    <n v="0"/>
    <n v="0"/>
    <n v="0"/>
    <n v="0"/>
    <n v="0"/>
    <n v="0"/>
    <n v="0"/>
    <n v="0"/>
  </r>
  <r>
    <s v="Wilson"/>
    <n v="2002"/>
    <x v="1"/>
    <x v="1"/>
    <s v="Black and White"/>
    <s v="United States"/>
    <s v="US"/>
    <s v="Y"/>
    <s v="telephone"/>
    <s v="AROI"/>
    <s v="Y"/>
    <s v="nonracial attitude, racial attitude"/>
    <x v="1"/>
    <x v="0"/>
    <n v="4"/>
    <n v="0"/>
    <n v="18"/>
    <n v="0"/>
    <n v="0.25"/>
    <m/>
    <n v="0.05"/>
    <m/>
    <n v="4"/>
    <n v="0"/>
    <n v="18"/>
    <n v="0"/>
    <n v="0.5"/>
    <m/>
    <n v="0.05"/>
    <m/>
    <m/>
    <m/>
    <m/>
    <m/>
    <m/>
    <m/>
    <m/>
    <m/>
    <s v="N"/>
    <s v="subset"/>
    <s v="N"/>
    <s v="N"/>
    <s v="N"/>
    <s v="N"/>
    <s v="1985 and after"/>
    <s v="2000-2016"/>
    <n v="8"/>
    <n v="1"/>
    <m/>
    <n v="1"/>
    <n v="0"/>
    <n v="0.2"/>
    <n v="0"/>
    <n v="2"/>
    <n v="0"/>
    <n v="0.9"/>
    <n v="0"/>
    <n v="0"/>
    <n v="0"/>
    <n v="0"/>
    <n v="0"/>
  </r>
  <r>
    <s v="Wilson, Gonzales, and Davis"/>
    <n v="2013"/>
    <x v="2"/>
    <x v="2"/>
    <s v="Black and White"/>
    <s v="United States"/>
    <s v="US"/>
    <s v="Y"/>
    <s v="F2F"/>
    <s v="AROI"/>
    <s v="N"/>
    <s v="racial attitude"/>
    <x v="1"/>
    <x v="0"/>
    <m/>
    <m/>
    <m/>
    <m/>
    <m/>
    <m/>
    <m/>
    <m/>
    <n v="0"/>
    <n v="0"/>
    <n v="1"/>
    <n v="0"/>
    <m/>
    <m/>
    <n v="1"/>
    <m/>
    <m/>
    <m/>
    <m/>
    <m/>
    <m/>
    <m/>
    <m/>
    <m/>
    <s v="Y"/>
    <s v="subset"/>
    <s v="N"/>
    <s v="Y"/>
    <s v="Y"/>
    <s v="N"/>
    <s v="1985 and after"/>
    <s v="1980-2000"/>
    <n v="9"/>
    <n v="3"/>
    <m/>
    <n v="1"/>
    <n v="0"/>
    <n v="0"/>
    <n v="0"/>
    <n v="0"/>
    <n v="0"/>
    <n v="1"/>
    <n v="0"/>
    <n v="0"/>
    <n v="0"/>
    <n v="0"/>
    <n v="0"/>
  </r>
  <r>
    <s v="Wilson, Gonzales, and Davis"/>
    <n v="2013"/>
    <x v="1"/>
    <x v="2"/>
    <s v="Black and White"/>
    <s v="United States"/>
    <s v="US"/>
    <s v="Y"/>
    <s v="F2F"/>
    <s v="AROI"/>
    <s v="N"/>
    <s v="racial attitude"/>
    <x v="1"/>
    <x v="0"/>
    <m/>
    <m/>
    <m/>
    <m/>
    <m/>
    <m/>
    <m/>
    <m/>
    <n v="0"/>
    <n v="0"/>
    <n v="1"/>
    <n v="0"/>
    <m/>
    <m/>
    <n v="1"/>
    <m/>
    <m/>
    <m/>
    <m/>
    <m/>
    <m/>
    <m/>
    <m/>
    <m/>
    <s v="Y"/>
    <s v="subset"/>
    <s v="N"/>
    <s v="Y"/>
    <s v="Y"/>
    <s v="N"/>
    <s v="1985 and after"/>
    <s v="2000-2016"/>
    <n v="9"/>
    <n v="3"/>
    <m/>
    <n v="1"/>
    <n v="0"/>
    <n v="0"/>
    <n v="0"/>
    <n v="0"/>
    <n v="0"/>
    <n v="1"/>
    <n v="0"/>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Anderson, Silver, and Abramson (attitudes)"/>
    <n v="1988"/>
    <x v="0"/>
    <x v="0"/>
    <s v="Black and White"/>
    <s v="United States"/>
    <x v="0"/>
    <s v="Y"/>
    <x v="0"/>
    <s v="AROI"/>
    <s v="N"/>
    <x v="0"/>
    <s v="Y"/>
    <s v="Y"/>
    <n v="2"/>
    <n v="0"/>
    <n v="8"/>
    <n v="0"/>
    <n v="0.5"/>
    <m/>
    <n v="0.625"/>
    <m/>
    <m/>
    <m/>
    <m/>
    <m/>
    <m/>
    <m/>
    <m/>
    <m/>
    <m/>
    <m/>
    <m/>
    <m/>
    <m/>
    <m/>
    <m/>
    <m/>
    <s v="N"/>
    <s v="subset"/>
    <s v="N"/>
    <s v="N"/>
    <s v="Y"/>
    <s v="N"/>
    <s v="1985 and after"/>
    <s v="1980-2000"/>
    <n v="2"/>
    <n v="1"/>
    <m/>
    <n v="1"/>
    <n v="0"/>
    <n v="1.25"/>
    <n v="0"/>
    <n v="0"/>
    <n v="0"/>
    <n v="0"/>
    <n v="0"/>
    <n v="0"/>
    <n v="0"/>
    <n v="0"/>
    <n v="0"/>
    <n v="0"/>
    <n v="1"/>
    <n v="10"/>
    <n v="2"/>
    <n v="0.2"/>
    <n v="0.22500000000000001"/>
    <e v="#DIV/0!"/>
    <e v="#DIV/0!"/>
    <s v="Yes"/>
    <s v="No"/>
    <s v="No"/>
    <s v="for 5 out of 8 racial qs"/>
    <s v="N"/>
    <m/>
  </r>
  <r>
    <s v="Anderson, Silver, and Abramson (voting)"/>
    <n v="1988"/>
    <x v="0"/>
    <x v="0"/>
    <s v="Black and White"/>
    <s v="United States"/>
    <x v="0"/>
    <s v="Y"/>
    <x v="0"/>
    <s v="AROI"/>
    <s v="N"/>
    <x v="1"/>
    <s v="Y"/>
    <s v="Y"/>
    <n v="6"/>
    <n v="0"/>
    <n v="0"/>
    <n v="0"/>
    <n v="0"/>
    <m/>
    <m/>
    <m/>
    <m/>
    <m/>
    <m/>
    <m/>
    <m/>
    <m/>
    <m/>
    <m/>
    <m/>
    <m/>
    <m/>
    <m/>
    <m/>
    <m/>
    <m/>
    <m/>
    <s v="N"/>
    <s v="subset"/>
    <s v="N"/>
    <s v="N"/>
    <s v="Y"/>
    <s v="N"/>
    <s v="1985 and after"/>
    <s v="1980-2000"/>
    <n v="2"/>
    <n v="1"/>
    <m/>
    <n v="1"/>
    <n v="0"/>
    <n v="0"/>
    <n v="0"/>
    <n v="0"/>
    <n v="0"/>
    <n v="0"/>
    <n v="0"/>
    <n v="0"/>
    <n v="0"/>
    <n v="0"/>
    <n v="0"/>
    <n v="0"/>
    <n v="1"/>
    <n v="6"/>
    <n v="1"/>
    <n v="0.16666666666666666"/>
    <n v="0.16666666666666666"/>
    <e v="#DIV/0!"/>
    <e v="#DIV/0!"/>
    <s v="Yes"/>
    <s v="No"/>
    <s v="No"/>
    <s v="All"/>
    <s v="N"/>
    <m/>
  </r>
  <r>
    <s v="Belk, Huffmon, and Lawrence"/>
    <n v="2013"/>
    <x v="1"/>
    <x v="0"/>
    <s v="Black and White"/>
    <s v="11 southern states"/>
    <x v="1"/>
    <s v="N"/>
    <x v="1"/>
    <s v="AROI"/>
    <s v="Y"/>
    <x v="0"/>
    <s v="Y"/>
    <s v="N"/>
    <n v="7"/>
    <n v="0"/>
    <n v="6"/>
    <n v="0"/>
    <n v="0"/>
    <m/>
    <n v="0.83"/>
    <m/>
    <m/>
    <m/>
    <m/>
    <m/>
    <m/>
    <m/>
    <m/>
    <m/>
    <m/>
    <m/>
    <m/>
    <m/>
    <m/>
    <m/>
    <m/>
    <m/>
    <s v="N"/>
    <s v="subset"/>
    <s v="N"/>
    <s v="Y"/>
    <s v="N"/>
    <s v="N"/>
    <s v="1985 and after"/>
    <s v="2000-2016"/>
    <n v="11"/>
    <n v="3"/>
    <m/>
    <n v="1"/>
    <n v="0"/>
    <n v="5.81"/>
    <n v="0"/>
    <n v="0"/>
    <n v="0"/>
    <n v="0"/>
    <n v="0"/>
    <n v="0"/>
    <n v="0"/>
    <n v="0"/>
    <n v="0"/>
    <m/>
    <m/>
    <n v="13"/>
    <n v="7"/>
    <n v="0.53846153846153844"/>
    <n v="0.52384615384615385"/>
    <e v="#DIV/0!"/>
    <e v="#DIV/0!"/>
    <s v="Yes"/>
    <s v="No"/>
    <s v="No"/>
    <s v="All"/>
    <s v="N"/>
    <m/>
  </r>
  <r>
    <s v="Cody, Davis, and Wilson"/>
    <n v="2010"/>
    <x v="2"/>
    <x v="0"/>
    <s v="Black and White"/>
    <s v="United States"/>
    <x v="0"/>
    <s v="Y"/>
    <x v="1"/>
    <s v="AROI"/>
    <s v="Y"/>
    <x v="2"/>
    <s v="Y"/>
    <s v="Y"/>
    <n v="0"/>
    <n v="0"/>
    <n v="10"/>
    <n v="0"/>
    <m/>
    <m/>
    <n v="0.8"/>
    <m/>
    <m/>
    <m/>
    <m/>
    <m/>
    <m/>
    <m/>
    <m/>
    <m/>
    <m/>
    <m/>
    <m/>
    <m/>
    <m/>
    <m/>
    <m/>
    <m/>
    <s v="Y"/>
    <s v="subset"/>
    <s v="N"/>
    <s v="Y"/>
    <s v="Y"/>
    <s v="N"/>
    <s v="1985 and after"/>
    <s v="2000-2016"/>
    <n v="6"/>
    <n v="4"/>
    <m/>
    <n v="1"/>
    <n v="0"/>
    <n v="0"/>
    <n v="0"/>
    <n v="0"/>
    <n v="0"/>
    <n v="0"/>
    <n v="0"/>
    <n v="0"/>
    <n v="0"/>
    <n v="0"/>
    <n v="0"/>
    <n v="2"/>
    <n v="2"/>
    <n v="10"/>
    <n v="1"/>
    <n v="0.1"/>
    <n v="0.1"/>
    <e v="#DIV/0!"/>
    <e v="#DIV/0!"/>
    <s v="Yes"/>
    <s v="No"/>
    <s v="No"/>
    <s v="All"/>
    <s v="N"/>
    <m/>
  </r>
  <r>
    <s v="Cotter, Cohen, and Coulter"/>
    <n v="1982"/>
    <x v="2"/>
    <x v="1"/>
    <s v="Black and White"/>
    <s v="Alabama"/>
    <x v="1"/>
    <s v="N"/>
    <x v="1"/>
    <s v="AROI"/>
    <s v="Y"/>
    <x v="0"/>
    <s v="N"/>
    <s v="Y"/>
    <n v="10"/>
    <n v="0"/>
    <n v="13"/>
    <n v="0"/>
    <n v="0"/>
    <m/>
    <n v="0.08"/>
    <m/>
    <n v="10"/>
    <n v="0"/>
    <n v="13"/>
    <n v="0"/>
    <n v="0"/>
    <m/>
    <n v="0.69"/>
    <m/>
    <m/>
    <m/>
    <m/>
    <m/>
    <m/>
    <m/>
    <m/>
    <m/>
    <s v="N"/>
    <s v="entire survey"/>
    <s v="Y"/>
    <s v="N"/>
    <s v="Y"/>
    <s v="N"/>
    <s v="before 1985"/>
    <s v="1980-2000"/>
    <n v="2"/>
    <n v="3"/>
    <m/>
    <n v="1"/>
    <n v="0"/>
    <n v="0.8"/>
    <n v="0"/>
    <n v="0"/>
    <n v="0"/>
    <n v="8.9699999999999989"/>
    <n v="0"/>
    <n v="0"/>
    <n v="0"/>
    <n v="0"/>
    <n v="0"/>
    <n v="1"/>
    <n v="2"/>
    <n v="46"/>
    <n v="11"/>
    <n v="0.2391304347826087"/>
    <n v="7.8260869565217397E-2"/>
    <n v="0.38999999999999996"/>
    <e v="#DIV/0!"/>
    <s v="Yes"/>
    <s v="Yes"/>
    <s v="No"/>
    <s v="for 5 out of 10"/>
    <s v="Y"/>
    <s v="I workload"/>
  </r>
  <r>
    <s v="Davis (direction)"/>
    <n v="1997"/>
    <x v="2"/>
    <x v="0"/>
    <s v="Black and White"/>
    <s v="United States"/>
    <x v="0"/>
    <s v="Y"/>
    <x v="1"/>
    <s v="AROI"/>
    <s v="Y"/>
    <x v="2"/>
    <s v="N"/>
    <s v="Y"/>
    <n v="0"/>
    <n v="0"/>
    <n v="6"/>
    <n v="0"/>
    <m/>
    <m/>
    <n v="1"/>
    <m/>
    <m/>
    <m/>
    <m/>
    <m/>
    <m/>
    <m/>
    <m/>
    <m/>
    <m/>
    <m/>
    <m/>
    <m/>
    <m/>
    <m/>
    <m/>
    <m/>
    <s v="N"/>
    <s v="subset"/>
    <s v="N"/>
    <s v="N"/>
    <s v="N"/>
    <s v="N"/>
    <s v="1985 and after"/>
    <s v="1980-2000"/>
    <n v="9"/>
    <n v="1"/>
    <m/>
    <n v="1"/>
    <n v="0"/>
    <n v="0"/>
    <n v="0"/>
    <n v="0"/>
    <n v="0"/>
    <n v="0"/>
    <n v="0"/>
    <n v="0"/>
    <n v="0"/>
    <n v="0"/>
    <n v="0"/>
    <n v="1"/>
    <n v="0"/>
    <n v="6"/>
    <n v="1"/>
    <n v="0.16666666666666666"/>
    <n v="0.16666666666666666"/>
    <e v="#DIV/0!"/>
    <e v="#DIV/0!"/>
    <s v="Yes"/>
    <s v="No"/>
    <s v="No"/>
    <s v="NA"/>
    <s v="N"/>
    <m/>
  </r>
  <r>
    <s v="Davis (nonrandom)"/>
    <n v="1997"/>
    <x v="2"/>
    <x v="0"/>
    <s v="Black and White"/>
    <s v="United States"/>
    <x v="0"/>
    <s v="Y"/>
    <x v="1"/>
    <s v="AROI"/>
    <s v="Y"/>
    <x v="2"/>
    <s v="Y"/>
    <s v="N"/>
    <n v="0"/>
    <n v="0"/>
    <n v="10"/>
    <n v="0"/>
    <m/>
    <m/>
    <m/>
    <m/>
    <m/>
    <m/>
    <m/>
    <m/>
    <m/>
    <m/>
    <m/>
    <m/>
    <m/>
    <m/>
    <m/>
    <m/>
    <m/>
    <m/>
    <m/>
    <m/>
    <s v="N"/>
    <s v="subset"/>
    <s v="N"/>
    <s v="N"/>
    <s v="N"/>
    <s v="N"/>
    <s v="1985 and after"/>
    <s v="1980-2000"/>
    <n v="10"/>
    <n v="1"/>
    <m/>
    <n v="1"/>
    <n v="0"/>
    <n v="0"/>
    <n v="0"/>
    <n v="0"/>
    <n v="0"/>
    <n v="0"/>
    <n v="0"/>
    <n v="0"/>
    <n v="0"/>
    <n v="0"/>
    <n v="0"/>
    <n v="1"/>
    <n v="0"/>
    <n v="10"/>
    <n v="1"/>
    <n v="0.1"/>
    <n v="0.1"/>
    <e v="#DIV/0!"/>
    <e v="#DIV/0!"/>
    <s v="Yes"/>
    <s v="No"/>
    <s v="No"/>
    <s v="NA"/>
    <s v="N"/>
    <m/>
  </r>
  <r>
    <s v="Davis and Silver"/>
    <n v="2003"/>
    <x v="1"/>
    <x v="1"/>
    <s v="Black and White"/>
    <s v="Michigan"/>
    <x v="2"/>
    <s v="N"/>
    <x v="1"/>
    <s v="AROI"/>
    <s v="Y"/>
    <x v="3"/>
    <s v="N"/>
    <s v="Y"/>
    <n v="0"/>
    <n v="1"/>
    <n v="0"/>
    <n v="0"/>
    <m/>
    <n v="0"/>
    <m/>
    <m/>
    <n v="0"/>
    <n v="1"/>
    <n v="0"/>
    <n v="0"/>
    <m/>
    <n v="0"/>
    <m/>
    <m/>
    <m/>
    <m/>
    <m/>
    <m/>
    <m/>
    <m/>
    <m/>
    <m/>
    <s v="N"/>
    <s v="subset"/>
    <s v="Y"/>
    <s v="N"/>
    <s v="N"/>
    <m/>
    <s v="1985 and after"/>
    <s v="2000-2016"/>
    <n v="5"/>
    <n v="3"/>
    <m/>
    <n v="1"/>
    <n v="0"/>
    <n v="0"/>
    <n v="0"/>
    <n v="0"/>
    <n v="0"/>
    <n v="0"/>
    <n v="0"/>
    <n v="0"/>
    <n v="0"/>
    <n v="0"/>
    <n v="0"/>
    <m/>
    <m/>
    <n v="2"/>
    <n v="1"/>
    <n v="0.5"/>
    <n v="1"/>
    <n v="0"/>
    <e v="#DIV/0!"/>
    <s v="Yes"/>
    <s v="Yes"/>
    <s v="No"/>
    <s v="All"/>
    <s v="N"/>
    <m/>
  </r>
  <r>
    <s v="Finkel, Guterbock, and Borg"/>
    <n v="1991"/>
    <x v="2"/>
    <x v="2"/>
    <s v="Black and White"/>
    <s v="Virginia"/>
    <x v="1"/>
    <s v="N"/>
    <x v="1"/>
    <s v="AROI"/>
    <s v="Y"/>
    <x v="2"/>
    <s v="Y"/>
    <s v="Y"/>
    <m/>
    <m/>
    <m/>
    <m/>
    <m/>
    <m/>
    <m/>
    <m/>
    <n v="0"/>
    <n v="0"/>
    <n v="2"/>
    <n v="0"/>
    <m/>
    <m/>
    <n v="0"/>
    <m/>
    <m/>
    <m/>
    <m/>
    <m/>
    <m/>
    <m/>
    <m/>
    <m/>
    <s v="N"/>
    <s v="subset"/>
    <s v="N"/>
    <s v="N"/>
    <s v="N"/>
    <s v="N"/>
    <s v="1985 and after"/>
    <s v="1980-2000"/>
    <n v="6"/>
    <n v="1"/>
    <m/>
    <n v="1"/>
    <n v="0"/>
    <n v="0"/>
    <n v="0"/>
    <n v="0"/>
    <n v="0"/>
    <n v="0"/>
    <n v="0"/>
    <n v="0"/>
    <n v="0"/>
    <n v="0"/>
    <n v="0"/>
    <n v="1"/>
    <n v="0"/>
    <n v="2"/>
    <n v="1"/>
    <n v="0.5"/>
    <e v="#DIV/0!"/>
    <n v="0"/>
    <e v="#DIV/0!"/>
    <s v="No"/>
    <s v="Yes"/>
    <s v="No"/>
    <s v="All"/>
    <s v="N"/>
    <m/>
  </r>
  <r>
    <s v="Hatchett and Schuman"/>
    <n v="1975"/>
    <x v="3"/>
    <x v="2"/>
    <s v="Black and White"/>
    <s v="Detroit"/>
    <x v="2"/>
    <s v="N"/>
    <x v="0"/>
    <s v="AROI"/>
    <s v="Y"/>
    <x v="2"/>
    <s v="Y"/>
    <s v="Y"/>
    <m/>
    <m/>
    <m/>
    <m/>
    <m/>
    <m/>
    <m/>
    <m/>
    <n v="0"/>
    <n v="0"/>
    <n v="4"/>
    <n v="0"/>
    <m/>
    <m/>
    <n v="0.75"/>
    <m/>
    <m/>
    <m/>
    <m/>
    <m/>
    <m/>
    <m/>
    <m/>
    <m/>
    <s v="N"/>
    <s v="subset"/>
    <s v="N"/>
    <s v="N"/>
    <s v="Y"/>
    <s v="N"/>
    <s v="before 1985"/>
    <s v="before 1980"/>
    <n v="2"/>
    <n v="2"/>
    <m/>
    <n v="1"/>
    <n v="0"/>
    <n v="0"/>
    <n v="0"/>
    <n v="0"/>
    <n v="0"/>
    <n v="3"/>
    <n v="0"/>
    <n v="0"/>
    <n v="0"/>
    <n v="0"/>
    <n v="0"/>
    <n v="1"/>
    <n v="1"/>
    <n v="4"/>
    <n v="4"/>
    <n v="1"/>
    <e v="#DIV/0!"/>
    <n v="0.75"/>
    <e v="#DIV/0!"/>
    <s v="No"/>
    <s v="Yes"/>
    <s v="No"/>
    <s v="1 summed index"/>
    <s v="N"/>
    <m/>
  </r>
  <r>
    <s v="Holbrook et al."/>
    <n v="2019"/>
    <x v="1"/>
    <x v="3"/>
    <s v="Non-Hispanic White, Non-Hispanic Black and Hispanic"/>
    <s v="Chicago"/>
    <x v="2"/>
    <s v="N"/>
    <x v="1"/>
    <s v="AROI"/>
    <s v="Y"/>
    <x v="2"/>
    <s v="Y"/>
    <s v="N"/>
    <m/>
    <m/>
    <m/>
    <m/>
    <m/>
    <m/>
    <m/>
    <m/>
    <m/>
    <m/>
    <m/>
    <m/>
    <m/>
    <m/>
    <m/>
    <m/>
    <m/>
    <m/>
    <m/>
    <m/>
    <m/>
    <m/>
    <m/>
    <m/>
    <s v="Y"/>
    <s v="subset"/>
    <s v="N"/>
    <s v="Y"/>
    <s v="Y"/>
    <s v="N"/>
    <s v="1985 and after"/>
    <s v="2000-2016"/>
    <n v="19"/>
    <n v="4"/>
    <m/>
    <n v="1"/>
    <n v="0"/>
    <n v="0"/>
    <n v="0"/>
    <n v="0"/>
    <n v="0"/>
    <n v="0"/>
    <n v="0"/>
    <n v="0"/>
    <n v="0"/>
    <n v="0"/>
    <n v="0"/>
    <n v="2"/>
    <n v="2"/>
    <n v="0"/>
    <n v="1"/>
    <e v="#DIV/0!"/>
    <e v="#DIV/0!"/>
    <e v="#DIV/0!"/>
    <e v="#DIV/0!"/>
    <s v="Yes"/>
    <s v="Yes"/>
    <s v="Yes"/>
    <s v="All"/>
    <s v="N"/>
    <m/>
  </r>
  <r>
    <s v="Huang"/>
    <n v="2009"/>
    <x v="2"/>
    <x v="1"/>
    <s v="Black and White"/>
    <s v="United States"/>
    <x v="0"/>
    <s v="Y"/>
    <x v="0"/>
    <s v="AROI"/>
    <s v="N"/>
    <x v="3"/>
    <s v="Y"/>
    <s v="N"/>
    <n v="0"/>
    <n v="1"/>
    <n v="0"/>
    <n v="0"/>
    <m/>
    <n v="1"/>
    <m/>
    <m/>
    <n v="0"/>
    <n v="1"/>
    <n v="0"/>
    <n v="0"/>
    <m/>
    <n v="0"/>
    <m/>
    <m/>
    <m/>
    <m/>
    <m/>
    <m/>
    <m/>
    <m/>
    <m/>
    <m/>
    <s v="Y"/>
    <s v="subset"/>
    <s v="N"/>
    <s v="N"/>
    <s v="Y"/>
    <s v="N"/>
    <s v="1985 and after"/>
    <s v="2000-2016"/>
    <n v="3"/>
    <n v="2"/>
    <m/>
    <n v="1"/>
    <n v="1"/>
    <n v="0"/>
    <n v="0"/>
    <n v="0"/>
    <n v="0"/>
    <n v="0"/>
    <n v="0"/>
    <n v="0"/>
    <n v="0"/>
    <n v="0"/>
    <n v="0"/>
    <n v="1"/>
    <n v="1"/>
    <n v="2"/>
    <n v="2"/>
    <n v="1"/>
    <n v="2"/>
    <n v="0"/>
    <e v="#DIV/0!"/>
    <s v="Yes"/>
    <s v="Yes"/>
    <s v="No"/>
    <s v="All"/>
    <s v="Y"/>
    <s v="I experience"/>
  </r>
  <r>
    <s v="Hutcheson, Prather, and Snow"/>
    <n v="1979"/>
    <x v="3"/>
    <x v="1"/>
    <s v="Black and White"/>
    <s v="large SMSA"/>
    <x v="1"/>
    <s v="N"/>
    <x v="0"/>
    <s v="AROI"/>
    <s v="N"/>
    <x v="4"/>
    <s v="N"/>
    <s v="Y"/>
    <n v="2"/>
    <n v="1"/>
    <n v="0"/>
    <n v="0"/>
    <n v="1"/>
    <n v="1"/>
    <m/>
    <m/>
    <n v="2"/>
    <n v="1"/>
    <n v="0"/>
    <n v="0"/>
    <n v="1"/>
    <n v="1"/>
    <m/>
    <m/>
    <m/>
    <m/>
    <m/>
    <m/>
    <m/>
    <m/>
    <m/>
    <m/>
    <s v="N"/>
    <s v="subset"/>
    <s v="N"/>
    <s v="N"/>
    <s v="Y"/>
    <s v="N"/>
    <s v="before 1985"/>
    <s v="before 1980"/>
    <n v="4"/>
    <n v="1"/>
    <m/>
    <n v="1"/>
    <n v="1"/>
    <n v="0"/>
    <n v="0"/>
    <n v="2"/>
    <n v="1"/>
    <n v="0"/>
    <n v="0"/>
    <n v="0"/>
    <n v="0"/>
    <n v="0"/>
    <n v="0"/>
    <n v="0"/>
    <n v="1"/>
    <n v="6"/>
    <n v="5"/>
    <n v="0.83333333333333337"/>
    <n v="0.66666666666666663"/>
    <n v="1"/>
    <e v="#DIV/0!"/>
    <s v="Yes"/>
    <s v="Yes"/>
    <s v="No"/>
    <s v="NA"/>
    <s v="N"/>
    <m/>
  </r>
  <r>
    <s v="Hyman"/>
    <n v="1954"/>
    <x v="3"/>
    <x v="0"/>
    <s v="Black and White"/>
    <s v="Memphis"/>
    <x v="1"/>
    <s v="N"/>
    <x v="0"/>
    <s v="AROI"/>
    <s v="Y"/>
    <x v="2"/>
    <s v="N"/>
    <s v="Y"/>
    <n v="8"/>
    <n v="0"/>
    <n v="17"/>
    <n v="0"/>
    <n v="0.875"/>
    <m/>
    <n v="0.88235300000000005"/>
    <m/>
    <m/>
    <m/>
    <m/>
    <m/>
    <m/>
    <m/>
    <m/>
    <m/>
    <m/>
    <m/>
    <m/>
    <m/>
    <m/>
    <m/>
    <m/>
    <m/>
    <s v="N"/>
    <s v="uncertain"/>
    <s v="N"/>
    <s v="N"/>
    <s v="N"/>
    <s v="N"/>
    <s v="before 1985"/>
    <s v="before 1980"/>
    <n v="0"/>
    <n v="1"/>
    <m/>
    <n v="1"/>
    <n v="0"/>
    <n v="7.0588240000000004"/>
    <n v="0"/>
    <n v="0"/>
    <n v="0"/>
    <n v="0"/>
    <n v="0"/>
    <n v="0"/>
    <n v="0"/>
    <n v="0"/>
    <n v="0"/>
    <n v="1"/>
    <n v="0"/>
    <n v="25"/>
    <n v="8"/>
    <n v="0.32"/>
    <n v="0.32235296000000008"/>
    <e v="#DIV/0!"/>
    <e v="#DIV/0!"/>
    <s v="Yes"/>
    <s v="No"/>
    <s v="No"/>
    <s v="NA"/>
    <s v="N"/>
    <m/>
  </r>
  <r>
    <s v="Keeter"/>
    <n v="1990"/>
    <x v="2"/>
    <x v="1"/>
    <s v="Black and White"/>
    <s v="Virginia"/>
    <x v="1"/>
    <s v="N"/>
    <x v="1"/>
    <s v="AROI"/>
    <s v="N"/>
    <x v="2"/>
    <s v="Y"/>
    <s v="Y"/>
    <n v="0"/>
    <n v="0"/>
    <n v="1"/>
    <n v="0"/>
    <m/>
    <m/>
    <n v="1"/>
    <m/>
    <n v="0"/>
    <n v="0"/>
    <n v="1"/>
    <n v="0"/>
    <m/>
    <m/>
    <n v="1"/>
    <m/>
    <m/>
    <m/>
    <m/>
    <m/>
    <m/>
    <m/>
    <m/>
    <m/>
    <s v="N"/>
    <s v="uncertain"/>
    <s v="N"/>
    <s v="N"/>
    <s v="N"/>
    <s v="N"/>
    <s v="1985 and after"/>
    <s v="1980-2000"/>
    <n v="4"/>
    <n v="0"/>
    <m/>
    <n v="1"/>
    <n v="0"/>
    <n v="0"/>
    <n v="0"/>
    <n v="0"/>
    <n v="0"/>
    <n v="1"/>
    <n v="0"/>
    <n v="0"/>
    <n v="0"/>
    <n v="0"/>
    <n v="0"/>
    <n v="0"/>
    <n v="0"/>
    <n v="2"/>
    <n v="2"/>
    <n v="1"/>
    <n v="1"/>
    <n v="1"/>
    <e v="#DIV/0!"/>
    <s v="Yes"/>
    <s v="Yes"/>
    <s v="No"/>
    <s v="All"/>
    <s v="N"/>
    <m/>
  </r>
  <r>
    <s v="Lind, Oldendick, Hall, Rose, and Shealy"/>
    <n v="2001"/>
    <x v="1"/>
    <x v="1"/>
    <s v="Black and White"/>
    <s v="South Carolina"/>
    <x v="1"/>
    <s v="N"/>
    <x v="1"/>
    <s v="AROI"/>
    <s v="N"/>
    <x v="2"/>
    <s v="N"/>
    <s v="Y"/>
    <n v="0"/>
    <n v="0"/>
    <n v="1"/>
    <n v="0"/>
    <m/>
    <m/>
    <n v="0"/>
    <m/>
    <n v="0"/>
    <n v="0"/>
    <n v="1"/>
    <n v="0"/>
    <m/>
    <m/>
    <n v="0"/>
    <m/>
    <m/>
    <m/>
    <m/>
    <m/>
    <m/>
    <m/>
    <m/>
    <m/>
    <s v="N"/>
    <s v="subset"/>
    <s v="N"/>
    <s v="N"/>
    <s v="N"/>
    <s v="N"/>
    <s v="1985 and after"/>
    <s v="2000-2016"/>
    <n v="4"/>
    <n v="0"/>
    <m/>
    <n v="1"/>
    <n v="0"/>
    <n v="0"/>
    <n v="0"/>
    <n v="0"/>
    <n v="0"/>
    <n v="0"/>
    <n v="0"/>
    <n v="0"/>
    <n v="0"/>
    <n v="0"/>
    <n v="0"/>
    <n v="0"/>
    <n v="0"/>
    <n v="2"/>
    <n v="1"/>
    <n v="0.5"/>
    <n v="1"/>
    <n v="0"/>
    <e v="#DIV/0!"/>
    <s v="Yes"/>
    <s v="Yes"/>
    <s v="No"/>
    <s v="NA"/>
    <s v="N"/>
    <m/>
  </r>
  <r>
    <s v="Link and Oldendick"/>
    <n v="1998"/>
    <x v="2"/>
    <x v="1"/>
    <s v="Black and White"/>
    <s v="southern state"/>
    <x v="1"/>
    <s v="N"/>
    <x v="1"/>
    <s v="AROI"/>
    <s v="N"/>
    <x v="0"/>
    <s v="Y"/>
    <s v="Y"/>
    <n v="2"/>
    <n v="0"/>
    <n v="1"/>
    <n v="0"/>
    <n v="0"/>
    <m/>
    <n v="0"/>
    <m/>
    <n v="2"/>
    <n v="0"/>
    <n v="1"/>
    <n v="0"/>
    <n v="0"/>
    <m/>
    <n v="1"/>
    <m/>
    <m/>
    <m/>
    <m/>
    <m/>
    <m/>
    <m/>
    <m/>
    <m/>
    <s v="N"/>
    <s v="subset"/>
    <s v="N"/>
    <s v="N"/>
    <s v="N"/>
    <s v="N"/>
    <s v="1985 and after"/>
    <s v="1980-2000"/>
    <n v="5"/>
    <n v="0"/>
    <m/>
    <n v="1"/>
    <n v="0"/>
    <n v="0"/>
    <n v="0"/>
    <n v="0"/>
    <n v="0"/>
    <n v="1"/>
    <n v="0"/>
    <n v="0"/>
    <n v="0"/>
    <n v="0"/>
    <n v="0"/>
    <n v="0"/>
    <n v="0"/>
    <n v="6"/>
    <n v="2"/>
    <n v="0.33333333333333331"/>
    <n v="0.33333333333333331"/>
    <n v="0.33333333333333331"/>
    <e v="#DIV/0!"/>
    <s v="Yes"/>
    <s v="Yes"/>
    <s v="No"/>
    <s v="All"/>
    <s v="N"/>
    <m/>
  </r>
  <r>
    <s v="Liu and Wang"/>
    <n v="2016"/>
    <x v="1"/>
    <x v="3"/>
    <s v="Non-Hispanic White, Non-Hispanic Black and Hispanic"/>
    <s v="United States"/>
    <x v="0"/>
    <s v="Y"/>
    <x v="0"/>
    <s v="AROI"/>
    <s v="N"/>
    <x v="2"/>
    <s v="Y"/>
    <s v="N"/>
    <n v="0"/>
    <n v="0"/>
    <n v="6"/>
    <n v="0"/>
    <m/>
    <m/>
    <n v="1"/>
    <m/>
    <n v="0"/>
    <n v="0"/>
    <n v="6"/>
    <n v="0"/>
    <m/>
    <m/>
    <n v="1"/>
    <m/>
    <n v="0"/>
    <n v="0"/>
    <n v="6"/>
    <n v="0"/>
    <m/>
    <m/>
    <n v="1"/>
    <m/>
    <s v="Y"/>
    <s v="subset"/>
    <s v="N"/>
    <s v="N"/>
    <s v="N"/>
    <s v="N"/>
    <s v="1985 and after"/>
    <s v="2000-2016"/>
    <n v="8"/>
    <n v="1"/>
    <m/>
    <n v="1"/>
    <n v="0"/>
    <n v="0"/>
    <n v="0"/>
    <n v="0"/>
    <n v="0"/>
    <n v="6"/>
    <n v="0"/>
    <n v="0"/>
    <n v="0"/>
    <n v="6"/>
    <n v="0"/>
    <n v="1"/>
    <n v="0"/>
    <n v="18"/>
    <n v="13"/>
    <n v="0.72222222222222221"/>
    <n v="0.16666666666666666"/>
    <n v="1"/>
    <n v="1"/>
    <s v="Yes"/>
    <s v="Yes"/>
    <s v="Yes"/>
    <s v="All"/>
    <s v="Y"/>
    <s v="I gender, I age, I experience, I education"/>
  </r>
  <r>
    <s v="Livert, Kadushin, Schulman, and Weiss"/>
    <n v="1998"/>
    <x v="2"/>
    <x v="1"/>
    <s v="Black and White"/>
    <s v="urban areas"/>
    <x v="1"/>
    <s v="N"/>
    <x v="1"/>
    <s v="AROI"/>
    <s v="Y"/>
    <x v="1"/>
    <s v="N"/>
    <s v="Y"/>
    <n v="21"/>
    <n v="0"/>
    <n v="0"/>
    <n v="0"/>
    <n v="0.47599999999999998"/>
    <m/>
    <m/>
    <m/>
    <n v="21"/>
    <n v="0"/>
    <n v="0"/>
    <n v="0"/>
    <n v="4.8000000000000001E-2"/>
    <m/>
    <m/>
    <m/>
    <m/>
    <m/>
    <m/>
    <m/>
    <m/>
    <m/>
    <m/>
    <m/>
    <s v="Y"/>
    <s v="subset"/>
    <s v="N"/>
    <s v="N"/>
    <s v="Y"/>
    <s v="N"/>
    <s v="1985 and after"/>
    <s v="1980-2000"/>
    <n v="6"/>
    <n v="3"/>
    <m/>
    <n v="1"/>
    <n v="0"/>
    <n v="0"/>
    <n v="0"/>
    <n v="1.008"/>
    <n v="0"/>
    <n v="0"/>
    <n v="0"/>
    <n v="0"/>
    <n v="0"/>
    <n v="0"/>
    <n v="0"/>
    <n v="2"/>
    <n v="1"/>
    <n v="42"/>
    <n v="2"/>
    <n v="4.7619047619047616E-2"/>
    <n v="4.7619047619047616E-2"/>
    <n v="4.8000000000000001E-2"/>
    <e v="#DIV/0!"/>
    <s v="Yes"/>
    <s v="Yes"/>
    <s v="No"/>
    <s v="All"/>
    <s v="N"/>
    <m/>
  </r>
  <r>
    <s v="Nienstadt"/>
    <n v="2009"/>
    <x v="1"/>
    <x v="4"/>
    <s v="White or Mixed and Blacks"/>
    <s v="11 states"/>
    <x v="0"/>
    <s v="N"/>
    <x v="1"/>
    <s v="AROI"/>
    <s v="N"/>
    <x v="2"/>
    <s v="N"/>
    <s v="Y"/>
    <n v="0"/>
    <n v="0"/>
    <n v="2"/>
    <n v="0"/>
    <m/>
    <m/>
    <n v="0.5"/>
    <m/>
    <n v="0"/>
    <n v="0"/>
    <n v="2"/>
    <n v="0"/>
    <m/>
    <m/>
    <n v="0.5"/>
    <m/>
    <m/>
    <m/>
    <m/>
    <m/>
    <m/>
    <m/>
    <m/>
    <m/>
    <s v="N"/>
    <s v="subset"/>
    <s v="N"/>
    <s v="Y"/>
    <s v="Y"/>
    <s v="N"/>
    <s v="1985 and after"/>
    <s v="2000-2016"/>
    <n v="5"/>
    <n v="2"/>
    <m/>
    <n v="1"/>
    <n v="0"/>
    <n v="0"/>
    <n v="0"/>
    <n v="0"/>
    <n v="0"/>
    <n v="1"/>
    <n v="0"/>
    <n v="0"/>
    <n v="0"/>
    <n v="0"/>
    <n v="0"/>
    <n v="0"/>
    <n v="2"/>
    <n v="4"/>
    <n v="2"/>
    <n v="0.5"/>
    <n v="0.5"/>
    <n v="0.5"/>
    <e v="#DIV/0!"/>
    <s v="Yes"/>
    <s v="Yes"/>
    <s v="No"/>
    <s v="NA"/>
    <s v="N"/>
    <m/>
  </r>
  <r>
    <s v="Price and Searles"/>
    <n v="1961"/>
    <x v="3"/>
    <x v="0"/>
    <s v="Black and White"/>
    <s v="North Carolina"/>
    <x v="1"/>
    <s v="N"/>
    <x v="0"/>
    <s v="AROI"/>
    <s v="N"/>
    <x v="5"/>
    <s v="N"/>
    <s v="Y"/>
    <n v="4"/>
    <n v="3"/>
    <n v="3"/>
    <n v="0"/>
    <n v="0.75"/>
    <n v="0.33"/>
    <n v="0.66"/>
    <m/>
    <m/>
    <m/>
    <m/>
    <m/>
    <m/>
    <m/>
    <m/>
    <m/>
    <m/>
    <m/>
    <m/>
    <m/>
    <m/>
    <m/>
    <m/>
    <m/>
    <s v="N"/>
    <s v="uncertain"/>
    <s v="N"/>
    <s v="N"/>
    <s v="Y"/>
    <s v="N"/>
    <s v="before 1985"/>
    <s v="before 1980"/>
    <n v="1"/>
    <n v="1"/>
    <m/>
    <n v="1"/>
    <n v="0.99"/>
    <n v="2.64"/>
    <n v="0"/>
    <n v="0"/>
    <n v="0"/>
    <n v="0"/>
    <n v="0"/>
    <n v="0"/>
    <n v="0"/>
    <n v="0"/>
    <n v="0"/>
    <n v="0"/>
    <n v="1"/>
    <n v="10"/>
    <n v="5"/>
    <n v="0.5"/>
    <n v="0.46299999999999997"/>
    <e v="#DIV/0!"/>
    <e v="#DIV/0!"/>
    <s v="Yes"/>
    <s v="No"/>
    <s v="No"/>
    <s v="5 out of 10"/>
    <s v="Y"/>
    <s v="only checks bivariate relationships b/w other I characteristics and outcomes"/>
  </r>
  <r>
    <s v="Reese, Danielson, Shoemaker, Chang, and Hsu"/>
    <n v="1986"/>
    <x v="2"/>
    <x v="5"/>
    <s v="Hispanic and Anglo"/>
    <s v="Texas"/>
    <x v="1"/>
    <s v="N"/>
    <x v="1"/>
    <s v="AROI"/>
    <s v="Y"/>
    <x v="6"/>
    <s v="N"/>
    <s v="Y"/>
    <m/>
    <m/>
    <m/>
    <m/>
    <m/>
    <m/>
    <m/>
    <m/>
    <m/>
    <m/>
    <m/>
    <m/>
    <m/>
    <m/>
    <m/>
    <m/>
    <n v="0"/>
    <n v="0"/>
    <n v="7"/>
    <n v="6"/>
    <m/>
    <m/>
    <n v="0"/>
    <n v="0.33"/>
    <s v="Y"/>
    <s v="entire survey"/>
    <s v="Y"/>
    <s v="N"/>
    <s v="N"/>
    <s v="N"/>
    <s v="1985 and after"/>
    <s v="1980-2000"/>
    <n v="5"/>
    <n v="3"/>
    <m/>
    <n v="1"/>
    <n v="0"/>
    <n v="0"/>
    <n v="0"/>
    <n v="0"/>
    <n v="0"/>
    <n v="0"/>
    <n v="0"/>
    <n v="0"/>
    <n v="0"/>
    <n v="0"/>
    <n v="1.98"/>
    <n v="2"/>
    <n v="1"/>
    <n v="13"/>
    <n v="3"/>
    <n v="0.23076923076923078"/>
    <e v="#DIV/0!"/>
    <e v="#DIV/0!"/>
    <n v="0.15230769230769231"/>
    <s v="No"/>
    <s v="No"/>
    <s v="Yes"/>
    <s v="NA"/>
    <s v="N"/>
    <m/>
  </r>
  <r>
    <s v="Savage"/>
    <n v="2016"/>
    <x v="1"/>
    <x v="1"/>
    <s v="Black and White"/>
    <s v="United States"/>
    <x v="0"/>
    <s v="Y"/>
    <x v="0"/>
    <s v="AROI"/>
    <s v="N"/>
    <x v="1"/>
    <s v="Y"/>
    <s v="Y"/>
    <n v="5"/>
    <n v="0"/>
    <n v="0"/>
    <n v="0"/>
    <n v="0.6"/>
    <m/>
    <m/>
    <m/>
    <n v="5"/>
    <n v="0"/>
    <n v="0"/>
    <n v="0"/>
    <n v="0.2"/>
    <m/>
    <m/>
    <m/>
    <m/>
    <m/>
    <m/>
    <m/>
    <m/>
    <m/>
    <m/>
    <m/>
    <s v="N"/>
    <s v="subset"/>
    <s v="N"/>
    <s v="N"/>
    <s v="N"/>
    <s v="N"/>
    <s v="1985 and after"/>
    <s v="2000-2016"/>
    <n v="9"/>
    <n v="0"/>
    <m/>
    <n v="1"/>
    <n v="0"/>
    <n v="0"/>
    <n v="0"/>
    <n v="1"/>
    <n v="0"/>
    <n v="0"/>
    <n v="0"/>
    <n v="0"/>
    <n v="0"/>
    <n v="0"/>
    <n v="0"/>
    <n v="0"/>
    <n v="0"/>
    <n v="10"/>
    <n v="2"/>
    <n v="0.2"/>
    <n v="0.2"/>
    <n v="0.2"/>
    <e v="#DIV/0!"/>
    <s v="Yes"/>
    <s v="Yes"/>
    <s v="No"/>
    <s v="All"/>
    <s v="N"/>
    <m/>
  </r>
  <r>
    <s v="Schaeffer"/>
    <n v="1980"/>
    <x v="3"/>
    <x v="1"/>
    <s v="Black and White"/>
    <s v="United States"/>
    <x v="0"/>
    <s v="Y"/>
    <x v="0"/>
    <s v="AROI"/>
    <s v="N"/>
    <x v="0"/>
    <s v="N"/>
    <s v="Y"/>
    <n v="3"/>
    <n v="0"/>
    <n v="3"/>
    <n v="0"/>
    <n v="0.33"/>
    <m/>
    <n v="0"/>
    <m/>
    <n v="3"/>
    <n v="0"/>
    <n v="5"/>
    <n v="0"/>
    <n v="0"/>
    <m/>
    <n v="0.6"/>
    <m/>
    <m/>
    <m/>
    <m/>
    <m/>
    <m/>
    <m/>
    <m/>
    <m/>
    <s v="Y"/>
    <s v="subset"/>
    <s v="N"/>
    <s v="Y"/>
    <s v="N"/>
    <s v="N"/>
    <s v="before 1985"/>
    <s v="1980-2000"/>
    <n v="5"/>
    <n v="2"/>
    <m/>
    <n v="1"/>
    <n v="0"/>
    <n v="0"/>
    <n v="0"/>
    <n v="0"/>
    <n v="0"/>
    <n v="3"/>
    <n v="0"/>
    <n v="0"/>
    <n v="0"/>
    <n v="0"/>
    <n v="0"/>
    <n v="1"/>
    <n v="1"/>
    <n v="14"/>
    <n v="4"/>
    <n v="0.2857142857142857"/>
    <n v="0.16666666666666666"/>
    <n v="0.375"/>
    <e v="#DIV/0!"/>
    <s v="Yes"/>
    <s v="Yes"/>
    <s v="No"/>
    <s v="Not reported"/>
    <s v="N"/>
    <m/>
  </r>
  <r>
    <s v="Schuman and Converse"/>
    <n v="1971"/>
    <x v="3"/>
    <x v="0"/>
    <s v="Black and White"/>
    <s v="Detroit"/>
    <x v="2"/>
    <s v="N"/>
    <x v="0"/>
    <s v="AROI"/>
    <s v="Y"/>
    <x v="7"/>
    <s v="N"/>
    <s v="Y"/>
    <n v="29"/>
    <n v="47"/>
    <n v="40"/>
    <n v="14"/>
    <n v="0.14000000000000001"/>
    <n v="0.19"/>
    <n v="0.37"/>
    <n v="0.43"/>
    <m/>
    <m/>
    <m/>
    <m/>
    <m/>
    <m/>
    <m/>
    <m/>
    <m/>
    <m/>
    <m/>
    <m/>
    <m/>
    <m/>
    <m/>
    <m/>
    <s v="N"/>
    <s v="entire survey"/>
    <s v="Y"/>
    <s v="Y"/>
    <s v="Y"/>
    <s v="N"/>
    <s v="before 1985"/>
    <s v="before 1980"/>
    <n v="3"/>
    <n v="4"/>
    <m/>
    <n v="1"/>
    <n v="8.93"/>
    <n v="10.73"/>
    <n v="6.02"/>
    <n v="0"/>
    <n v="0"/>
    <n v="0"/>
    <n v="0"/>
    <n v="0"/>
    <n v="0"/>
    <n v="0"/>
    <n v="0"/>
    <n v="1"/>
    <n v="3"/>
    <n v="130"/>
    <n v="27"/>
    <n v="0.2076923076923077"/>
    <n v="0.20523076923076922"/>
    <e v="#DIV/0!"/>
    <e v="#DIV/0!"/>
    <s v="Yes"/>
    <s v="No"/>
    <s v="No"/>
    <s v="NA"/>
    <s v="N"/>
    <m/>
  </r>
  <r>
    <s v="Schuman and Hatchett"/>
    <n v="1974"/>
    <x v="3"/>
    <x v="0"/>
    <s v="Black and White"/>
    <s v="Detroit"/>
    <x v="2"/>
    <s v="N"/>
    <x v="0"/>
    <s v="AROI"/>
    <s v="Y"/>
    <x v="0"/>
    <s v="Y"/>
    <s v="Y"/>
    <n v="8"/>
    <n v="0"/>
    <n v="11"/>
    <n v="0"/>
    <n v="0.88"/>
    <m/>
    <n v="0.36"/>
    <m/>
    <m/>
    <m/>
    <m/>
    <m/>
    <m/>
    <m/>
    <m/>
    <m/>
    <m/>
    <m/>
    <m/>
    <m/>
    <m/>
    <m/>
    <m/>
    <m/>
    <s v="N"/>
    <s v="subset"/>
    <s v="N"/>
    <s v="N"/>
    <s v="Y"/>
    <s v="N"/>
    <s v="before 1985"/>
    <s v="before 1980"/>
    <n v="2"/>
    <n v="2"/>
    <m/>
    <n v="1"/>
    <n v="0"/>
    <n v="2.88"/>
    <n v="0"/>
    <n v="0"/>
    <n v="0"/>
    <n v="0"/>
    <n v="0"/>
    <n v="0"/>
    <n v="0"/>
    <n v="0"/>
    <n v="0"/>
    <n v="1"/>
    <n v="1"/>
    <n v="19"/>
    <n v="4"/>
    <n v="0.21052631578947367"/>
    <n v="0.20421052631578948"/>
    <e v="#DIV/0!"/>
    <e v="#DIV/0!"/>
    <s v="Yes"/>
    <s v="No"/>
    <s v="No"/>
    <e v="#DIV/0!"/>
    <s v="Y"/>
    <s v="I age"/>
  </r>
  <r>
    <s v="Shosteck"/>
    <n v="1977"/>
    <x v="3"/>
    <x v="0"/>
    <s v="Black and White"/>
    <s v="Indianapolis"/>
    <x v="2"/>
    <s v="N"/>
    <x v="0"/>
    <s v="AROI"/>
    <s v="N"/>
    <x v="1"/>
    <s v="N"/>
    <s v="Y"/>
    <n v="1"/>
    <n v="0"/>
    <n v="0"/>
    <n v="0"/>
    <n v="1"/>
    <m/>
    <m/>
    <m/>
    <m/>
    <m/>
    <m/>
    <m/>
    <m/>
    <m/>
    <m/>
    <m/>
    <m/>
    <m/>
    <m/>
    <m/>
    <m/>
    <m/>
    <m/>
    <m/>
    <s v="N"/>
    <s v="uncertain"/>
    <s v="N"/>
    <s v="N"/>
    <s v="Y"/>
    <s v="N"/>
    <s v="before 1985"/>
    <s v="before 1980"/>
    <n v="1"/>
    <n v="1"/>
    <m/>
    <n v="1"/>
    <n v="0"/>
    <n v="0"/>
    <n v="0"/>
    <n v="0"/>
    <n v="0"/>
    <n v="0"/>
    <n v="0"/>
    <n v="0"/>
    <n v="0"/>
    <n v="0"/>
    <n v="0"/>
    <n v="0"/>
    <n v="1"/>
    <n v="1"/>
    <n v="1"/>
    <n v="1"/>
    <n v="1"/>
    <e v="#DIV/0!"/>
    <e v="#DIV/0!"/>
    <s v="Yes"/>
    <s v="No"/>
    <s v="No"/>
    <s v="NA"/>
    <s v="N"/>
    <m/>
  </r>
  <r>
    <s v="Wang et al."/>
    <n v="2013"/>
    <x v="1"/>
    <x v="6"/>
    <s v="Black, White and Hispanic"/>
    <s v="United States"/>
    <x v="0"/>
    <s v="Y"/>
    <x v="0"/>
    <s v="AROI"/>
    <s v="N"/>
    <x v="1"/>
    <s v="N"/>
    <s v="Y"/>
    <n v="12"/>
    <n v="0"/>
    <n v="0"/>
    <n v="0"/>
    <n v="0"/>
    <m/>
    <m/>
    <m/>
    <n v="12"/>
    <n v="0"/>
    <n v="0"/>
    <n v="0"/>
    <n v="0"/>
    <m/>
    <m/>
    <m/>
    <n v="12"/>
    <n v="0"/>
    <n v="0"/>
    <n v="0"/>
    <n v="1"/>
    <m/>
    <m/>
    <m/>
    <s v="N"/>
    <s v="subset"/>
    <s v="N"/>
    <s v="N"/>
    <s v="Y"/>
    <s v="N"/>
    <s v="1985 and after"/>
    <s v="2000-2016"/>
    <n v="0"/>
    <n v="1"/>
    <m/>
    <n v="1"/>
    <n v="0"/>
    <n v="0"/>
    <n v="0"/>
    <n v="0"/>
    <n v="0"/>
    <n v="0"/>
    <n v="0"/>
    <n v="12"/>
    <n v="0"/>
    <n v="0"/>
    <n v="0"/>
    <n v="0"/>
    <n v="1"/>
    <n v="36"/>
    <n v="13"/>
    <n v="0.3611111111111111"/>
    <n v="8.3333333333333329E-2"/>
    <n v="0"/>
    <n v="1"/>
    <s v="Yes"/>
    <s v="Yes"/>
    <s v="No"/>
    <s v="NA"/>
    <s v="N"/>
    <m/>
  </r>
  <r>
    <s v="Williams"/>
    <n v="1964"/>
    <x v="3"/>
    <x v="0"/>
    <s v="Black and White"/>
    <s v="North Carolina"/>
    <x v="1"/>
    <s v="N"/>
    <x v="0"/>
    <s v="AROI"/>
    <s v="Y"/>
    <x v="7"/>
    <s v="N"/>
    <s v="Y"/>
    <n v="4"/>
    <n v="6"/>
    <n v="2"/>
    <n v="1"/>
    <n v="0.5"/>
    <n v="0"/>
    <n v="1"/>
    <n v="1"/>
    <m/>
    <m/>
    <m/>
    <m/>
    <m/>
    <m/>
    <m/>
    <m/>
    <m/>
    <m/>
    <m/>
    <m/>
    <m/>
    <m/>
    <m/>
    <m/>
    <s v="N"/>
    <s v="entire survey"/>
    <s v="Y"/>
    <s v="N"/>
    <s v="Y"/>
    <s v="N"/>
    <s v="before 1985"/>
    <s v="before 1980"/>
    <n v="1"/>
    <n v="3"/>
    <m/>
    <n v="1"/>
    <n v="0"/>
    <n v="4"/>
    <n v="1"/>
    <n v="0"/>
    <n v="0"/>
    <n v="0"/>
    <n v="0"/>
    <n v="0"/>
    <n v="0"/>
    <n v="0"/>
    <n v="0"/>
    <n v="1"/>
    <n v="2"/>
    <n v="13"/>
    <n v="6"/>
    <n v="0.46153846153846156"/>
    <n v="0.46153846153846156"/>
    <e v="#DIV/0!"/>
    <e v="#DIV/0!"/>
    <s v="Yes"/>
    <s v="No"/>
    <s v="No"/>
    <s v="NA"/>
    <s v="N"/>
    <m/>
  </r>
  <r>
    <s v="Wilson"/>
    <n v="2002"/>
    <x v="1"/>
    <x v="1"/>
    <s v="Black and White"/>
    <s v="United States"/>
    <x v="0"/>
    <s v="Y"/>
    <x v="1"/>
    <s v="AROI"/>
    <s v="Y"/>
    <x v="0"/>
    <s v="N"/>
    <s v="Y"/>
    <n v="4"/>
    <n v="0"/>
    <n v="18"/>
    <n v="0"/>
    <n v="0.25"/>
    <m/>
    <n v="0.05"/>
    <m/>
    <n v="4"/>
    <n v="0"/>
    <n v="18"/>
    <n v="0"/>
    <n v="0.5"/>
    <m/>
    <n v="0.05"/>
    <m/>
    <m/>
    <m/>
    <m/>
    <m/>
    <m/>
    <m/>
    <m/>
    <m/>
    <s v="N"/>
    <s v="subset"/>
    <s v="N"/>
    <s v="N"/>
    <s v="N"/>
    <s v="N"/>
    <s v="1985 and after"/>
    <s v="2000-2016"/>
    <n v="8"/>
    <n v="1"/>
    <m/>
    <n v="1"/>
    <n v="0"/>
    <n v="0.2"/>
    <n v="0"/>
    <n v="2"/>
    <n v="0"/>
    <n v="0.9"/>
    <n v="0"/>
    <n v="0"/>
    <n v="0"/>
    <n v="0"/>
    <n v="0"/>
    <n v="1"/>
    <n v="0"/>
    <n v="44"/>
    <n v="4"/>
    <n v="9.0909090909090912E-2"/>
    <n v="5.4545454545454543E-2"/>
    <n v="0.13181818181818181"/>
    <e v="#DIV/0!"/>
    <s v="Yes"/>
    <s v="Yes"/>
    <s v="No"/>
    <s v="NA"/>
    <s v="N"/>
    <m/>
  </r>
  <r>
    <s v="Wilson, Gonzales, and Davis"/>
    <n v="2013"/>
    <x v="2"/>
    <x v="2"/>
    <s v="Black and White"/>
    <s v="United States"/>
    <x v="0"/>
    <s v="Y"/>
    <x v="0"/>
    <s v="AROI"/>
    <s v="N"/>
    <x v="2"/>
    <s v="N"/>
    <s v="Y"/>
    <m/>
    <m/>
    <m/>
    <m/>
    <m/>
    <m/>
    <m/>
    <m/>
    <n v="0"/>
    <n v="0"/>
    <n v="1"/>
    <n v="0"/>
    <m/>
    <m/>
    <n v="1"/>
    <m/>
    <m/>
    <m/>
    <m/>
    <m/>
    <m/>
    <m/>
    <m/>
    <m/>
    <s v="Y"/>
    <s v="subset"/>
    <s v="N"/>
    <s v="Y"/>
    <s v="Y"/>
    <s v="N"/>
    <s v="1985 and after"/>
    <s v="1980-2000"/>
    <n v="9"/>
    <n v="3"/>
    <m/>
    <n v="1"/>
    <n v="0"/>
    <n v="0"/>
    <n v="0"/>
    <n v="0"/>
    <n v="0"/>
    <n v="1"/>
    <n v="0"/>
    <n v="0"/>
    <n v="0"/>
    <n v="0"/>
    <n v="0"/>
    <n v="1"/>
    <n v="2"/>
    <n v="1"/>
    <n v="2"/>
    <n v="2"/>
    <e v="#DIV/0!"/>
    <n v="1"/>
    <e v="#DIV/0!"/>
    <s v="No"/>
    <s v="Yes"/>
    <s v="No"/>
    <e v="#DIV/0!"/>
    <s v="N"/>
    <m/>
  </r>
  <r>
    <s v="Wilson, Gonzales, and Davis"/>
    <n v="2013"/>
    <x v="1"/>
    <x v="2"/>
    <s v="Black and White"/>
    <s v="United States"/>
    <x v="0"/>
    <s v="Y"/>
    <x v="0"/>
    <s v="AROI"/>
    <s v="N"/>
    <x v="2"/>
    <s v="N"/>
    <s v="Y"/>
    <m/>
    <m/>
    <m/>
    <m/>
    <m/>
    <m/>
    <m/>
    <m/>
    <n v="0"/>
    <n v="0"/>
    <n v="1"/>
    <n v="0"/>
    <m/>
    <m/>
    <n v="1"/>
    <m/>
    <m/>
    <m/>
    <m/>
    <m/>
    <m/>
    <m/>
    <m/>
    <m/>
    <s v="Y"/>
    <s v="subset"/>
    <s v="N"/>
    <s v="Y"/>
    <s v="Y"/>
    <s v="N"/>
    <s v="1985 and after"/>
    <s v="2000-2016"/>
    <n v="9"/>
    <n v="3"/>
    <m/>
    <n v="1"/>
    <n v="0"/>
    <n v="0"/>
    <n v="0"/>
    <n v="0"/>
    <n v="0"/>
    <n v="1"/>
    <n v="0"/>
    <n v="0"/>
    <n v="0"/>
    <n v="0"/>
    <n v="0"/>
    <n v="1"/>
    <n v="2"/>
    <n v="1"/>
    <n v="2"/>
    <n v="2"/>
    <e v="#DIV/0!"/>
    <n v="1"/>
    <e v="#DIV/0!"/>
    <s v="No"/>
    <s v="Yes"/>
    <s v="No"/>
    <e v="#DIV/0!"/>
    <s v="N"/>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18B2A-6E10-47F2-8908-DDA1C60E71EE}" name="PivotTable3"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75">
    <pivotField dataField="1" showAll="0"/>
    <pivotField showAll="0"/>
    <pivotField showAll="0">
      <items count="5">
        <item x="3"/>
        <item x="2"/>
        <item x="1"/>
        <item x="0"/>
        <item t="default"/>
      </items>
    </pivotField>
    <pivotField axis="axisPage" multipleItemSelectionAllowed="1" showAll="0">
      <items count="8">
        <item x="0"/>
        <item x="1"/>
        <item x="6"/>
        <item h="1" x="5"/>
        <item x="3"/>
        <item h="1" x="2"/>
        <item x="4"/>
        <item t="default"/>
      </items>
    </pivotField>
    <pivotField showAll="0"/>
    <pivotField showAll="0"/>
    <pivotField showAll="0">
      <items count="4">
        <item x="2"/>
        <item x="1"/>
        <item x="0"/>
        <item t="default"/>
      </items>
    </pivotField>
    <pivotField showAll="0"/>
    <pivotField axis="axisRow" showAll="0">
      <items count="3">
        <item x="0"/>
        <item x="1"/>
        <item t="default"/>
      </items>
    </pivotField>
    <pivotField showAll="0"/>
    <pivotField showAll="0"/>
    <pivotField showAll="0">
      <items count="9">
        <item x="1"/>
        <item x="4"/>
        <item x="5"/>
        <item x="7"/>
        <item x="0"/>
        <item x="3"/>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pageFields count="1">
    <pageField fld="3" hier="-1"/>
  </pageFields>
  <dataFields count="1">
    <dataField name="Count of Autho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1D8FC-4ED0-43AE-844D-FD456A09D460}" name="PivotTable4"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9" firstHeaderRow="1" firstDataRow="2" firstDataCol="1" rowPageCount="3" colPageCount="1"/>
  <pivotFields count="48">
    <pivotField dataField="1" showAll="0"/>
    <pivotField showAll="0"/>
    <pivotField showAll="0"/>
    <pivotField axis="axisPage" multipleItemSelectionAllowed="1" showAll="0">
      <items count="10">
        <item h="1" x="0"/>
        <item x="1"/>
        <item x="6"/>
        <item h="1" x="5"/>
        <item x="3"/>
        <item x="2"/>
        <item x="4"/>
        <item h="1" m="1" x="8"/>
        <item h="1" m="1" x="7"/>
        <item t="default"/>
      </items>
    </pivotField>
    <pivotField showAll="0"/>
    <pivotField showAll="0"/>
    <pivotField showAll="0"/>
    <pivotField showAll="0"/>
    <pivotField showAll="0"/>
    <pivotField showAll="0"/>
    <pivotField showAll="0"/>
    <pivotField showAll="0"/>
    <pivotField axis="axisPage" multipleItemSelectionAllowed="1" showAll="0">
      <items count="4">
        <item x="1"/>
        <item x="0"/>
        <item h="1" m="1" x="2"/>
        <item t="default"/>
      </items>
    </pivotField>
    <pivotField axis="axisPage" multipleItemSelectionAllowed="1" showAll="0">
      <items count="4">
        <item h="1" x="1"/>
        <item x="0"/>
        <item h="1" m="1" x="2"/>
        <item t="default"/>
      </items>
    </pivotField>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dataField="1" showAll="0"/>
    <pivotField axis="axisCol" showAll="0">
      <items count="4">
        <item x="0"/>
        <item x="1"/>
        <item m="1" x="2"/>
        <item t="default"/>
      </items>
    </pivotField>
    <pivotField showAll="0"/>
    <pivotField showAll="0"/>
    <pivotField showAll="0"/>
    <pivotField showAll="0"/>
    <pivotField showAll="0"/>
    <pivotField showAll="0"/>
    <pivotField showAll="0"/>
    <pivotField showAll="0"/>
    <pivotField showAll="0"/>
  </pivotFields>
  <rowFields count="1">
    <field x="-2"/>
  </rowFields>
  <rowItems count="13">
    <i>
      <x/>
    </i>
    <i i="1">
      <x v="1"/>
    </i>
    <i i="2">
      <x v="2"/>
    </i>
    <i i="3">
      <x v="3"/>
    </i>
    <i i="4">
      <x v="4"/>
    </i>
    <i i="5">
      <x v="5"/>
    </i>
    <i i="6">
      <x v="6"/>
    </i>
    <i i="7">
      <x v="7"/>
    </i>
    <i i="8">
      <x v="8"/>
    </i>
    <i i="9">
      <x v="9"/>
    </i>
    <i i="10">
      <x v="10"/>
    </i>
    <i i="11">
      <x v="11"/>
    </i>
    <i i="12">
      <x v="12"/>
    </i>
  </rowItems>
  <colFields count="1">
    <field x="38"/>
  </colFields>
  <colItems count="3">
    <i>
      <x/>
    </i>
    <i>
      <x v="1"/>
    </i>
    <i t="grand">
      <x/>
    </i>
  </colItems>
  <pageFields count="3">
    <pageField fld="3" hier="-1"/>
    <pageField fld="13" hier="-1"/>
    <pageField fld="12" hier="-1"/>
  </pageFields>
  <dataFields count="13">
    <dataField name="Count of Author(s)" fld="0" subtotal="count" baseField="0" baseItem="0"/>
    <dataField name="Average of % sig nonracial attitudes for Blacks" fld="18" subtotal="average" baseField="8" baseItem="0"/>
    <dataField name="Average of % sig nonracial facts for Blacks" fld="19" subtotal="average" baseField="8" baseItem="0"/>
    <dataField name="Average of % sig racial attitudes for Blacks" fld="20" subtotal="average" baseField="8" baseItem="0"/>
    <dataField name="Average of % sig racial facts for Blacks" fld="21" subtotal="average" baseField="8" baseItem="0"/>
    <dataField name="Average of % sig nonracial attitudes for Whites" fld="26" subtotal="average" baseField="8" baseItem="0"/>
    <dataField name="Average of % sig nonracial facts for Whites" fld="27" subtotal="average" baseField="8" baseItem="0"/>
    <dataField name="Average of % sig racial attitudes for Whites" fld="28" subtotal="average" baseField="8" baseItem="0"/>
    <dataField name="Average of % sig racial facts for Whites" fld="29" subtotal="average" baseField="8" baseItem="0"/>
    <dataField name="Average of % sig nonracial attitudes for Hispanics" fld="34" subtotal="average" baseField="8" baseItem="0"/>
    <dataField name="Average of % sig nonracial facts for Hispanics" fld="35" subtotal="average" baseField="8" baseItem="0"/>
    <dataField name="Average of % sig racial attitudes for Hispanics" fld="36" subtotal="average" baseField="8" baseItem="0"/>
    <dataField name="Average of %sig racial facts for Hispanics" fld="37"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0C2D83-EC9F-4245-8CB1-E393A683405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8" firstHeaderRow="0" firstDataRow="1" firstDataCol="1" rowPageCount="2" colPageCount="1"/>
  <pivotFields count="66">
    <pivotField dataField="1" showAll="0"/>
    <pivotField showAll="0"/>
    <pivotField showAll="0"/>
    <pivotField axis="axisPage" multipleItemSelectionAllowed="1" showAll="0">
      <items count="8">
        <item x="0"/>
        <item x="1"/>
        <item x="6"/>
        <item h="1" x="5"/>
        <item x="3"/>
        <item h="1" x="2"/>
        <item x="4"/>
        <item t="default"/>
      </items>
    </pivotField>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9"/>
  </rowFields>
  <rowItems count="4">
    <i>
      <x/>
    </i>
    <i>
      <x v="1"/>
    </i>
    <i>
      <x v="2"/>
    </i>
    <i t="grand">
      <x/>
    </i>
  </rowItems>
  <colFields count="1">
    <field x="-2"/>
  </colFields>
  <colItems count="2">
    <i>
      <x/>
    </i>
    <i i="1">
      <x v="1"/>
    </i>
  </colItems>
  <pageFields count="2">
    <pageField fld="3" hier="-1"/>
    <pageField fld="13" item="1" hier="-1"/>
  </pageFields>
  <dataFields count="2">
    <dataField name="Count of Author(s)" fld="0" subtotal="count" baseField="0" baseItem="0"/>
    <dataField name="Average of total %sig item" fld="6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5A5D0-D546-470F-91CE-6C93A97A1399}" name="PivotTable2"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20" firstHeaderRow="1" firstDataRow="2" firstDataCol="1" rowPageCount="3" colPageCount="1"/>
  <pivotFields count="17">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13">
    <i>
      <x/>
    </i>
    <i i="1">
      <x v="1"/>
    </i>
    <i i="2">
      <x v="2"/>
    </i>
    <i i="3">
      <x v="3"/>
    </i>
    <i i="4">
      <x v="4"/>
    </i>
    <i i="5">
      <x v="5"/>
    </i>
    <i i="6">
      <x v="6"/>
    </i>
    <i i="7">
      <x v="7"/>
    </i>
    <i i="8">
      <x v="8"/>
    </i>
    <i i="9">
      <x v="9"/>
    </i>
    <i i="10">
      <x v="10"/>
    </i>
    <i i="11">
      <x v="11"/>
    </i>
    <i i="12">
      <x v="12"/>
    </i>
  </rowItems>
  <colFields count="1">
    <field x="16"/>
  </colFields>
  <colItems count="5">
    <i>
      <x/>
    </i>
    <i>
      <x v="1"/>
    </i>
    <i>
      <x v="2"/>
    </i>
    <i>
      <x v="3"/>
    </i>
    <i t="grand">
      <x/>
    </i>
  </colItems>
  <pageFields count="3">
    <pageField fld="1" hier="3" name="[Range].[ROR].[All]" cap="All"/>
    <pageField fld="2" hier="13" name="[Range].[Bivariate done].&amp;[Y]" cap="Y"/>
    <pageField fld="3" hier="12" name="[Range].[Multivariate Done].[All]" cap="All"/>
  </pageFields>
  <dataFields count="13">
    <dataField name="Count of Author(s)" fld="0" subtotal="count" baseField="0" baseItem="0"/>
    <dataField name="Sum of # nonracial attitudes for Blacks" fld="4" baseField="0" baseItem="0"/>
    <dataField name="Sum of # nonracial facts for Blacks" fld="5" baseField="0" baseItem="0"/>
    <dataField name="Sum of # racial attitudes for Blacks" fld="6" baseField="0" baseItem="0"/>
    <dataField name="Sum of # racial facts for Blacks" fld="7" baseField="0" baseItem="0"/>
    <dataField name="Sum of # nonracial attitudes for Whites" fld="8" baseField="0" baseItem="0"/>
    <dataField name="Sum of # nonracial facts for Whites" fld="9" baseField="0" baseItem="0"/>
    <dataField name="Sum of # racial attitudes for Whites" fld="10" baseField="0" baseItem="0"/>
    <dataField name="Sum of # racial facts for Whites" fld="11" baseField="0" baseItem="0"/>
    <dataField name="Sum of # nonracial attitudes for Hispanics" fld="12" baseField="0" baseItem="0"/>
    <dataField name="Sum of # nonracial facts for Hispanics" fld="13" baseField="0" baseItem="0"/>
    <dataField name="Sum of # racial attitudes for Hispanics" fld="14" baseField="0" baseItem="0"/>
    <dataField name="Sum of # racial facts for Hispanics" fld="15" baseField="0" baseItem="0"/>
  </dataFields>
  <pivotHierarchies count="8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Bivariate done].&amp;[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variate results!$A$1:$BH$3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8C33BB-6B2A-4B50-8D77-0BD2CF90471C}" name="PivotTable1"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20" firstHeaderRow="1" firstDataRow="2" firstDataCol="1" rowPageCount="3" colPageCount="1"/>
  <pivotFields count="61">
    <pivotField dataField="1" showAll="0"/>
    <pivotField showAll="0"/>
    <pivotField axis="axisCol" showAll="0">
      <items count="5">
        <item x="3"/>
        <item x="2"/>
        <item x="1"/>
        <item x="0"/>
        <item t="default"/>
      </items>
    </pivotField>
    <pivotField axis="axisPage" multipleItemSelectionAllowed="1" showAll="0">
      <items count="8">
        <item x="0"/>
        <item x="1"/>
        <item x="6"/>
        <item h="1" x="5"/>
        <item x="3"/>
        <item h="1" x="2"/>
        <item x="4"/>
        <item t="default"/>
      </items>
    </pivotField>
    <pivotField showAll="0"/>
    <pivotField showAll="0"/>
    <pivotField showAll="0"/>
    <pivotField showAll="0"/>
    <pivotField showAll="0"/>
    <pivotField showAll="0"/>
    <pivotField showAll="0"/>
    <pivotField showAll="0"/>
    <pivotField axis="axisPage" showAll="0">
      <items count="3">
        <item x="1"/>
        <item x="0"/>
        <item t="default"/>
      </items>
    </pivotField>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3">
    <i>
      <x/>
    </i>
    <i i="1">
      <x v="1"/>
    </i>
    <i i="2">
      <x v="2"/>
    </i>
    <i i="3">
      <x v="3"/>
    </i>
    <i i="4">
      <x v="4"/>
    </i>
    <i i="5">
      <x v="5"/>
    </i>
    <i i="6">
      <x v="6"/>
    </i>
    <i i="7">
      <x v="7"/>
    </i>
    <i i="8">
      <x v="8"/>
    </i>
    <i i="9">
      <x v="9"/>
    </i>
    <i i="10">
      <x v="10"/>
    </i>
    <i i="11">
      <x v="11"/>
    </i>
    <i i="12">
      <x v="12"/>
    </i>
  </rowItems>
  <colFields count="1">
    <field x="2"/>
  </colFields>
  <colItems count="5">
    <i>
      <x/>
    </i>
    <i>
      <x v="1"/>
    </i>
    <i>
      <x v="2"/>
    </i>
    <i>
      <x v="3"/>
    </i>
    <i t="grand">
      <x/>
    </i>
  </colItems>
  <pageFields count="3">
    <pageField fld="3" hier="-1"/>
    <pageField fld="13" item="1" hier="-1"/>
    <pageField fld="12" hier="-1"/>
  </pageFields>
  <dataFields count="13">
    <dataField name="Count of Author(s)" fld="0" subtotal="count" baseField="0" baseItem="0"/>
    <dataField name="Sum of NR_att_q_num x prop sig for Blacks (OxS)" fld="49" baseField="8" baseItem="0"/>
    <dataField name="Sum of NR_fact_q_num x prop sig for Blacks (PxT)" fld="50" baseField="8" baseItem="0"/>
    <dataField name="Sum of R_att_q_num x prop sig for Blacks (QxU)" fld="51" baseField="8" baseItem="0"/>
    <dataField name="Sum of R_fact_q_num x prop sig for Blacks (RxV)" fld="52" baseField="8" baseItem="0"/>
    <dataField name="Sum of NR_att_q_num x prop sig for Whites (WxAA)" fld="53" baseField="8" baseItem="0"/>
    <dataField name="Sum of NR_fact_q_num x prop sig for Whites (XxAB)" fld="54" baseField="8" baseItem="0"/>
    <dataField name="Sum of R_att_q_num x prop sig for Whites (YxAC)" fld="55" baseField="8" baseItem="0"/>
    <dataField name="Sum of R_fact_q_num x prop sig for Whites (ZxAD)" fld="56" baseField="8" baseItem="0"/>
    <dataField name="Sum of NR_att_q_num x prop sig for Hispanics (AExAI)" fld="57" baseField="8" baseItem="0"/>
    <dataField name="Sum of NR_fact_q_num x prop sig for Hispanics (AFxAJ)" fld="58" baseField="8" baseItem="0"/>
    <dataField name="Sum of R_att_q_num x prop sig for Hispanics (AGxAK)" fld="59" baseField="8" baseItem="0"/>
    <dataField name="Sum of R_fact_q_num x prop sig for Hispanics (AHxAL)" fld="60"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7E6DC9-0389-44A6-9BA0-6173FFEB9982}"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9" firstHeaderRow="1" firstDataRow="2" firstDataCol="1" rowPageCount="3" colPageCount="1"/>
  <pivotFields count="48">
    <pivotField dataField="1" showAll="0"/>
    <pivotField showAll="0"/>
    <pivotField showAll="0"/>
    <pivotField axis="axisPage" multipleItemSelectionAllowed="1" showAll="0">
      <items count="10">
        <item h="1" x="0"/>
        <item h="1" x="1"/>
        <item x="4"/>
        <item x="6"/>
        <item x="3"/>
        <item h="1" x="2"/>
        <item h="1" x="5"/>
        <item h="1" m="1" x="8"/>
        <item h="1" m="1" x="7"/>
        <item t="default"/>
      </items>
    </pivotField>
    <pivotField showAll="0"/>
    <pivotField showAll="0"/>
    <pivotField showAll="0"/>
    <pivotField showAll="0"/>
    <pivotField axis="axisCol" showAll="0">
      <items count="3">
        <item x="0"/>
        <item x="1"/>
        <item t="default"/>
      </items>
    </pivotField>
    <pivotField showAll="0"/>
    <pivotField showAll="0"/>
    <pivotField showAll="0"/>
    <pivotField axis="axisPage" multipleItemSelectionAllowed="1" showAll="0">
      <items count="4">
        <item h="1" x="1"/>
        <item x="0"/>
        <item h="1" m="1" x="2"/>
        <item t="default"/>
      </items>
    </pivotField>
    <pivotField axis="axisPage" multipleItemSelectionAllowed="1" showAll="0">
      <items count="4">
        <item x="1"/>
        <item x="0"/>
        <item m="1" x="2"/>
        <item t="default"/>
      </items>
    </pivotField>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i="1">
      <x v="1"/>
    </i>
    <i i="2">
      <x v="2"/>
    </i>
    <i i="3">
      <x v="3"/>
    </i>
    <i i="4">
      <x v="4"/>
    </i>
    <i i="5">
      <x v="5"/>
    </i>
    <i i="6">
      <x v="6"/>
    </i>
    <i i="7">
      <x v="7"/>
    </i>
    <i i="8">
      <x v="8"/>
    </i>
    <i i="9">
      <x v="9"/>
    </i>
    <i i="10">
      <x v="10"/>
    </i>
    <i i="11">
      <x v="11"/>
    </i>
    <i i="12">
      <x v="12"/>
    </i>
  </rowItems>
  <colFields count="1">
    <field x="8"/>
  </colFields>
  <colItems count="3">
    <i>
      <x/>
    </i>
    <i>
      <x v="1"/>
    </i>
    <i t="grand">
      <x/>
    </i>
  </colItems>
  <pageFields count="3">
    <pageField fld="3" hier="-1"/>
    <pageField fld="13" hier="-1"/>
    <pageField fld="12" hier="-1"/>
  </pageFields>
  <dataFields count="13">
    <dataField name="Count of Author(s)" fld="0" subtotal="count" baseField="0" baseItem="0"/>
    <dataField name="Average of % sig nonracial attitudes for Blacks" fld="18" subtotal="average" baseField="8" baseItem="0"/>
    <dataField name="Average of % sig nonracial facts for Blacks" fld="19" subtotal="average" baseField="8" baseItem="0"/>
    <dataField name="Average of % sig racial attitudes for Blacks" fld="20" subtotal="average" baseField="8" baseItem="0"/>
    <dataField name="Average of % sig racial facts for Blacks" fld="21" subtotal="average" baseField="8" baseItem="0"/>
    <dataField name="Average of % sig nonracial attitudes for Whites" fld="26" subtotal="average" baseField="8" baseItem="0"/>
    <dataField name="Average of % sig nonracial facts for Whites" fld="27" subtotal="average" baseField="8" baseItem="0"/>
    <dataField name="Average of % sig racial attitudes for Whites" fld="28" subtotal="average" baseField="8" baseItem="0"/>
    <dataField name="Average of % sig racial facts for Whites" fld="29" subtotal="average" baseField="8" baseItem="0"/>
    <dataField name="Average of % sig nonracial attitudes for Hispanics" fld="34" subtotal="average" baseField="8" baseItem="0"/>
    <dataField name="Average of % sig nonracial facts for Hispanics" fld="35" subtotal="average" baseField="8" baseItem="0"/>
    <dataField name="Average of % sig racial attitudes for Hispanics" fld="36" subtotal="average" baseField="8" baseItem="0"/>
    <dataField name="Average of %sig racial facts for Hispanics" fld="37"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64CE7-A7F2-43EF-B06E-FCFE5359CEE1}">
  <dimension ref="A1:DT69"/>
  <sheetViews>
    <sheetView tabSelected="1" topLeftCell="CO1" zoomScale="58" workbookViewId="0">
      <selection activeCell="DT33" sqref="DT33"/>
    </sheetView>
  </sheetViews>
  <sheetFormatPr defaultRowHeight="14.5" x14ac:dyDescent="0.35"/>
  <cols>
    <col min="4" max="5" width="9.1796875" style="3"/>
    <col min="7" max="7" width="9.1796875" style="3"/>
    <col min="12" max="12" width="13.7265625" customWidth="1"/>
    <col min="15" max="20" width="9.1796875" style="3"/>
    <col min="21" max="21" width="11.54296875" style="3" bestFit="1" customWidth="1"/>
    <col min="22" max="28" width="9.1796875" style="3"/>
    <col min="29" max="29" width="11.54296875" style="3" bestFit="1" customWidth="1"/>
    <col min="30" max="32" width="9.1796875" style="3"/>
    <col min="33" max="33" width="11.54296875" style="3" bestFit="1" customWidth="1"/>
    <col min="34" max="38" width="9.1796875" style="3"/>
    <col min="46" max="46" width="12.7265625" customWidth="1"/>
    <col min="121" max="121" width="8.7265625" style="26"/>
    <col min="122" max="122" width="8.7265625" style="26" customWidth="1"/>
    <col min="123" max="124" width="8.7265625" style="26"/>
  </cols>
  <sheetData>
    <row r="1" spans="1:124" ht="87.5" thickBot="1" x14ac:dyDescent="0.4">
      <c r="A1" s="1" t="s">
        <v>0</v>
      </c>
      <c r="B1" s="1" t="s">
        <v>1</v>
      </c>
      <c r="C1" s="1" t="s">
        <v>34</v>
      </c>
      <c r="D1" s="7" t="s">
        <v>37</v>
      </c>
      <c r="E1" s="7" t="s">
        <v>46</v>
      </c>
      <c r="F1" s="1" t="s">
        <v>52</v>
      </c>
      <c r="G1" s="7" t="s">
        <v>71</v>
      </c>
      <c r="H1" s="1" t="s">
        <v>75</v>
      </c>
      <c r="I1" s="1" t="s">
        <v>76</v>
      </c>
      <c r="J1" s="1" t="s">
        <v>78</v>
      </c>
      <c r="K1" s="1" t="s">
        <v>80</v>
      </c>
      <c r="L1" s="1" t="s">
        <v>81</v>
      </c>
      <c r="M1" s="7" t="s">
        <v>82</v>
      </c>
      <c r="N1" s="1" t="s">
        <v>83</v>
      </c>
      <c r="O1" s="1" t="s">
        <v>84</v>
      </c>
      <c r="P1" s="1" t="s">
        <v>85</v>
      </c>
      <c r="Q1" s="1" t="s">
        <v>86</v>
      </c>
      <c r="R1" s="1" t="s">
        <v>87</v>
      </c>
      <c r="S1" s="1" t="s">
        <v>96</v>
      </c>
      <c r="T1" s="1" t="s">
        <v>97</v>
      </c>
      <c r="U1" s="1" t="s">
        <v>98</v>
      </c>
      <c r="V1" s="1" t="s">
        <v>99</v>
      </c>
      <c r="W1" s="1" t="s">
        <v>88</v>
      </c>
      <c r="X1" s="1" t="s">
        <v>89</v>
      </c>
      <c r="Y1" s="1" t="s">
        <v>90</v>
      </c>
      <c r="Z1" s="1" t="s">
        <v>91</v>
      </c>
      <c r="AA1" s="1" t="s">
        <v>100</v>
      </c>
      <c r="AB1" s="1" t="s">
        <v>101</v>
      </c>
      <c r="AC1" s="1" t="s">
        <v>102</v>
      </c>
      <c r="AD1" s="1" t="s">
        <v>103</v>
      </c>
      <c r="AE1" s="1" t="s">
        <v>92</v>
      </c>
      <c r="AF1" s="1" t="s">
        <v>93</v>
      </c>
      <c r="AG1" s="1" t="s">
        <v>94</v>
      </c>
      <c r="AH1" s="1" t="s">
        <v>95</v>
      </c>
      <c r="AI1" s="1" t="s">
        <v>104</v>
      </c>
      <c r="AJ1" s="1" t="s">
        <v>105</v>
      </c>
      <c r="AK1" s="1" t="s">
        <v>106</v>
      </c>
      <c r="AL1" s="1" t="s">
        <v>107</v>
      </c>
      <c r="AM1" s="1" t="s">
        <v>118</v>
      </c>
      <c r="AN1" s="1" t="s">
        <v>119</v>
      </c>
      <c r="AO1" s="1" t="s">
        <v>213</v>
      </c>
      <c r="AP1" s="1" t="s">
        <v>123</v>
      </c>
      <c r="AQ1" s="1" t="s">
        <v>124</v>
      </c>
      <c r="AR1" s="1" t="s">
        <v>125</v>
      </c>
      <c r="AS1" s="1" t="s">
        <v>126</v>
      </c>
      <c r="AT1" s="1" t="s">
        <v>129</v>
      </c>
      <c r="AU1" s="1" t="s">
        <v>133</v>
      </c>
      <c r="AV1" s="1" t="s">
        <v>134</v>
      </c>
      <c r="AW1" s="16" t="s">
        <v>171</v>
      </c>
      <c r="AX1" s="16" t="s">
        <v>174</v>
      </c>
      <c r="AY1" s="16" t="s">
        <v>175</v>
      </c>
      <c r="AZ1" s="16" t="s">
        <v>176</v>
      </c>
      <c r="BA1" s="16" t="s">
        <v>177</v>
      </c>
      <c r="BB1" s="16" t="s">
        <v>178</v>
      </c>
      <c r="BC1" s="16" t="s">
        <v>179</v>
      </c>
      <c r="BD1" s="16" t="s">
        <v>180</v>
      </c>
      <c r="BE1" s="16" t="s">
        <v>181</v>
      </c>
      <c r="BF1" s="16" t="s">
        <v>182</v>
      </c>
      <c r="BG1" s="16" t="s">
        <v>183</v>
      </c>
      <c r="BH1" s="16" t="s">
        <v>184</v>
      </c>
      <c r="BI1" s="16" t="s">
        <v>185</v>
      </c>
      <c r="BJ1" s="16" t="s">
        <v>211</v>
      </c>
      <c r="BK1" s="16" t="s">
        <v>212</v>
      </c>
      <c r="BL1" s="16" t="s">
        <v>214</v>
      </c>
      <c r="BM1" s="16" t="s">
        <v>215</v>
      </c>
      <c r="BN1" s="16" t="s">
        <v>216</v>
      </c>
      <c r="BO1" s="16" t="s">
        <v>221</v>
      </c>
      <c r="BP1" s="16" t="s">
        <v>222</v>
      </c>
      <c r="BQ1" s="16" t="s">
        <v>223</v>
      </c>
      <c r="BR1" s="16" t="s">
        <v>225</v>
      </c>
      <c r="BS1" s="16" t="s">
        <v>226</v>
      </c>
      <c r="BT1" s="16" t="s">
        <v>227</v>
      </c>
      <c r="BU1" s="7" t="s">
        <v>135</v>
      </c>
      <c r="BV1" s="1" t="s">
        <v>143</v>
      </c>
      <c r="BW1" s="16" t="s">
        <v>230</v>
      </c>
      <c r="BX1" s="16" t="s">
        <v>234</v>
      </c>
      <c r="BY1" s="16" t="s">
        <v>235</v>
      </c>
      <c r="BZ1" s="16" t="s">
        <v>236</v>
      </c>
      <c r="CA1" s="16" t="s">
        <v>237</v>
      </c>
      <c r="CB1" s="16" t="s">
        <v>238</v>
      </c>
      <c r="CC1" s="16" t="s">
        <v>239</v>
      </c>
      <c r="CD1" s="16" t="s">
        <v>246</v>
      </c>
      <c r="CE1" s="16" t="s">
        <v>247</v>
      </c>
      <c r="CF1" s="16" t="s">
        <v>248</v>
      </c>
      <c r="CG1" s="16" t="s">
        <v>249</v>
      </c>
      <c r="CH1" s="16" t="s">
        <v>250</v>
      </c>
      <c r="CI1" s="16" t="s">
        <v>253</v>
      </c>
      <c r="CJ1" s="16" t="s">
        <v>254</v>
      </c>
      <c r="CK1" s="16" t="s">
        <v>251</v>
      </c>
      <c r="CL1" s="16" t="s">
        <v>252</v>
      </c>
      <c r="CM1" s="16" t="s">
        <v>256</v>
      </c>
      <c r="CN1" s="16" t="s">
        <v>257</v>
      </c>
      <c r="CO1" s="16" t="s">
        <v>258</v>
      </c>
      <c r="CP1" s="16" t="s">
        <v>259</v>
      </c>
      <c r="CQ1" s="16" t="s">
        <v>255</v>
      </c>
      <c r="CR1" s="16" t="s">
        <v>260</v>
      </c>
      <c r="CS1" s="16" t="s">
        <v>261</v>
      </c>
      <c r="CT1" s="16" t="s">
        <v>262</v>
      </c>
      <c r="CU1" s="16" t="s">
        <v>263</v>
      </c>
      <c r="CV1" s="16" t="s">
        <v>241</v>
      </c>
      <c r="CW1" s="16" t="s">
        <v>264</v>
      </c>
      <c r="CX1" s="16" t="s">
        <v>243</v>
      </c>
      <c r="CY1" s="16" t="s">
        <v>265</v>
      </c>
      <c r="CZ1" s="16" t="s">
        <v>266</v>
      </c>
      <c r="DA1" s="16" t="s">
        <v>271</v>
      </c>
      <c r="DB1" s="16" t="s">
        <v>272</v>
      </c>
      <c r="DC1" s="16" t="s">
        <v>273</v>
      </c>
      <c r="DD1" s="16" t="s">
        <v>274</v>
      </c>
      <c r="DE1" s="16" t="s">
        <v>275</v>
      </c>
      <c r="DF1" s="16" t="s">
        <v>276</v>
      </c>
      <c r="DG1" s="16" t="s">
        <v>277</v>
      </c>
      <c r="DH1" s="16" t="s">
        <v>278</v>
      </c>
      <c r="DI1" s="16" t="s">
        <v>279</v>
      </c>
      <c r="DJ1" s="16" t="s">
        <v>280</v>
      </c>
      <c r="DK1" s="16" t="s">
        <v>281</v>
      </c>
      <c r="DL1" s="16" t="s">
        <v>282</v>
      </c>
      <c r="DM1" s="16" t="s">
        <v>267</v>
      </c>
      <c r="DN1" s="16" t="s">
        <v>268</v>
      </c>
      <c r="DO1" s="16" t="s">
        <v>269</v>
      </c>
      <c r="DP1" s="16" t="s">
        <v>270</v>
      </c>
      <c r="DQ1" s="25" t="s">
        <v>283</v>
      </c>
      <c r="DR1" s="25" t="s">
        <v>284</v>
      </c>
      <c r="DS1" s="25" t="s">
        <v>285</v>
      </c>
      <c r="DT1" s="25" t="s">
        <v>286</v>
      </c>
    </row>
    <row r="2" spans="1:124" ht="145" x14ac:dyDescent="0.35">
      <c r="A2" s="2" t="s">
        <v>13</v>
      </c>
      <c r="B2" s="2">
        <v>1988</v>
      </c>
      <c r="C2" s="5" t="s">
        <v>36</v>
      </c>
      <c r="D2" s="3" t="s">
        <v>38</v>
      </c>
      <c r="E2" s="3" t="s">
        <v>41</v>
      </c>
      <c r="F2" s="2" t="s">
        <v>45</v>
      </c>
      <c r="G2" s="3" t="s">
        <v>74</v>
      </c>
      <c r="H2" s="2" t="s">
        <v>50</v>
      </c>
      <c r="I2" s="2" t="s">
        <v>77</v>
      </c>
      <c r="J2" s="2" t="s">
        <v>79</v>
      </c>
      <c r="K2" s="2" t="s">
        <v>51</v>
      </c>
      <c r="L2" s="2" t="s">
        <v>113</v>
      </c>
      <c r="M2" s="3" t="s">
        <v>50</v>
      </c>
      <c r="N2" s="2" t="s">
        <v>50</v>
      </c>
      <c r="O2" s="3">
        <v>2</v>
      </c>
      <c r="P2" s="3">
        <v>0</v>
      </c>
      <c r="Q2" s="3">
        <v>8</v>
      </c>
      <c r="R2" s="3">
        <v>0</v>
      </c>
      <c r="S2" s="3">
        <v>0.5</v>
      </c>
      <c r="U2" s="3">
        <v>0.625</v>
      </c>
      <c r="AM2" s="2" t="s">
        <v>51</v>
      </c>
      <c r="AN2" s="3" t="s">
        <v>122</v>
      </c>
      <c r="AO2" s="3" t="str">
        <f>IF(OR(AN2="subset",AN2 ="uncertain"),"N","Y")</f>
        <v>N</v>
      </c>
      <c r="AP2" s="3" t="s">
        <v>51</v>
      </c>
      <c r="AQ2" s="3" t="s">
        <v>50</v>
      </c>
      <c r="AR2" s="3" t="s">
        <v>51</v>
      </c>
      <c r="AS2" t="s">
        <v>128</v>
      </c>
      <c r="AT2" t="s">
        <v>131</v>
      </c>
      <c r="AU2">
        <v>2</v>
      </c>
      <c r="AV2">
        <f>SUM(K2="Y",AM2="Y",AP2="Y",AQ2="Y",AO2="Y")</f>
        <v>1</v>
      </c>
      <c r="AX2">
        <f>O2*S2</f>
        <v>1</v>
      </c>
      <c r="AY2">
        <f>P2*T2</f>
        <v>0</v>
      </c>
      <c r="AZ2">
        <f>Q2*U2</f>
        <v>5</v>
      </c>
      <c r="BA2">
        <f>R2*V2</f>
        <v>0</v>
      </c>
      <c r="BB2">
        <f t="shared" ref="BB2:BB33" si="0">W2*AA2</f>
        <v>0</v>
      </c>
      <c r="BC2">
        <f t="shared" ref="BC2:BC33" si="1">X2*AB2</f>
        <v>0</v>
      </c>
      <c r="BD2">
        <f t="shared" ref="BD2:BD33" si="2">Y2*AC2</f>
        <v>0</v>
      </c>
      <c r="BE2">
        <f t="shared" ref="BE2:BE33" si="3">Z2*AD2</f>
        <v>0</v>
      </c>
      <c r="BF2">
        <f t="shared" ref="BF2:BF33" si="4">AE2*AI2</f>
        <v>0</v>
      </c>
      <c r="BG2">
        <f t="shared" ref="BG2:BG33" si="5">AF2*AJ2</f>
        <v>0</v>
      </c>
      <c r="BH2">
        <f t="shared" ref="BH2:BH33" si="6">AG2*AK2</f>
        <v>0</v>
      </c>
      <c r="BI2">
        <f t="shared" ref="BI2:BI33" si="7">AH2*AL2</f>
        <v>0</v>
      </c>
      <c r="BJ2">
        <f>SUM(K2="Y",AM2="Y")</f>
        <v>0</v>
      </c>
      <c r="BK2">
        <f>SUM(AP2="Y",AQ2="Y",AO2="Y")</f>
        <v>1</v>
      </c>
      <c r="BL2">
        <f>SUM(CQ2,CS2)</f>
        <v>10</v>
      </c>
      <c r="BM2">
        <f>ROUND(SUM(CR2,CT2),0)</f>
        <v>6</v>
      </c>
      <c r="BN2">
        <f t="shared" ref="BN2:BN33" si="8">BM2/BL2</f>
        <v>0.6</v>
      </c>
      <c r="BO2">
        <f t="shared" ref="BO2:BO33" si="9">SUM(AX2,AY2,AZ2,BA2)/SUM(O2,P2,Q2,R2)</f>
        <v>0.6</v>
      </c>
      <c r="BP2" t="e">
        <f t="shared" ref="BP2:BP33" si="10">SUM(BB2,BC2,BD2,BE2)/SUM(W2,X2,Y2,Z2)</f>
        <v>#DIV/0!</v>
      </c>
      <c r="BQ2" t="e">
        <f t="shared" ref="BQ2:BQ33" si="11">SUM(BF2,BG2,BH2,BI2)/SUM(AE2,AF2,AG2,AH2)</f>
        <v>#DIV/0!</v>
      </c>
      <c r="BR2" t="str">
        <f t="shared" ref="BR2:BR33" si="12">IF(OR(D2="Black", D2="Black and White", D2="Non-Hispanic White, Non-Hispanic Black and Hispanic", D2 = "White or Mixed and Blacks", D2 = "Black, White and Hispanic"),"Yes","No")</f>
        <v>Yes</v>
      </c>
      <c r="BS2" t="str">
        <f t="shared" ref="BS2:BS33" si="13">IF(OR(D2="White", D2="Black and White", D2="Non-Hispanic White, Non-Hispanic Black and Hispanic", D2 = "White or Mixed and Blacks", D2 = "Black, White and Hispanic"),"Yes","No")</f>
        <v>No</v>
      </c>
      <c r="BT2" t="str">
        <f>IF(OR(D2="Mexican-American", D2="Non-Hispanic White, Non-Hispanic Black and Hispanic", D2 = "Black, White and Hispanic"),"Yes","No")</f>
        <v>No</v>
      </c>
      <c r="BU2" s="3" t="s">
        <v>136</v>
      </c>
      <c r="BV2" t="s">
        <v>51</v>
      </c>
      <c r="BX2">
        <f t="shared" ref="BX2:BX33" si="14">SUM(O2,P2,W2,X2,AE2,AF2)</f>
        <v>2</v>
      </c>
      <c r="BY2">
        <f>SUM(AX2,AY2,BB2,BC2,BF2,BG2)</f>
        <v>1</v>
      </c>
      <c r="BZ2">
        <f>SUM(Q2,R2,Y2,Z2,AG2,AH2)</f>
        <v>8</v>
      </c>
      <c r="CA2">
        <f>SUM(AZ2,BA2,BD2,BE2,BH2,BI2)</f>
        <v>5</v>
      </c>
      <c r="CB2">
        <f>BY2/BX2</f>
        <v>0.5</v>
      </c>
      <c r="CC2">
        <f>CA2/BZ2</f>
        <v>0.625</v>
      </c>
      <c r="CD2">
        <f>CS2/BL2</f>
        <v>0.8</v>
      </c>
      <c r="CE2">
        <f>SUM(O2,P2)</f>
        <v>2</v>
      </c>
      <c r="CF2">
        <f>SUM(AX2,AY2)</f>
        <v>1</v>
      </c>
      <c r="CG2">
        <f>SUM(Q2,R2)</f>
        <v>8</v>
      </c>
      <c r="CH2">
        <f>SUM(AZ2,BA2)</f>
        <v>5</v>
      </c>
      <c r="CI2">
        <f>SUM(W2,X2)</f>
        <v>0</v>
      </c>
      <c r="CJ2">
        <f>SUM(BB2,BC2)</f>
        <v>0</v>
      </c>
      <c r="CK2">
        <f>SUM(Y2,Z2)</f>
        <v>0</v>
      </c>
      <c r="CL2">
        <f>SUM(BD2,BE2)</f>
        <v>0</v>
      </c>
      <c r="CM2">
        <f>SUM(AE2,AF2)</f>
        <v>0</v>
      </c>
      <c r="CN2">
        <f>SUM(BF2,BG2)</f>
        <v>0</v>
      </c>
      <c r="CO2">
        <f>SUM(AG2,AH2)</f>
        <v>0</v>
      </c>
      <c r="CP2">
        <f>SUM(BH2,BI2)</f>
        <v>0</v>
      </c>
      <c r="CQ2">
        <f>MAX(CE2,CI2,CM2)</f>
        <v>2</v>
      </c>
      <c r="CR2">
        <f>ROUND(MAX(CF2,CJ2,CN2),0)</f>
        <v>1</v>
      </c>
      <c r="CS2">
        <f>MAX(CG2,CK2,CO2)</f>
        <v>8</v>
      </c>
      <c r="CT2">
        <f>ROUND(MAX(CH2,CL2,CP2),0)</f>
        <v>5</v>
      </c>
      <c r="CU2">
        <f>SUM(CE2,CG2)</f>
        <v>10</v>
      </c>
      <c r="CV2">
        <f>ROUND(SUM(CF2,CH2),0)</f>
        <v>6</v>
      </c>
      <c r="CW2">
        <f>SUM(CI2,CK2)</f>
        <v>0</v>
      </c>
      <c r="CX2">
        <f>ROUND(SUM(CJ2,CL2),0)</f>
        <v>0</v>
      </c>
      <c r="CY2">
        <f>SUM(CM2,CO2)</f>
        <v>0</v>
      </c>
      <c r="CZ2">
        <f>ROUND(SUM(CN2,CP2),0)</f>
        <v>0</v>
      </c>
      <c r="DA2">
        <f>SUM(O2,Q2)</f>
        <v>10</v>
      </c>
      <c r="DB2">
        <f>ROUND(SUM(AX2,AZ2),0)</f>
        <v>6</v>
      </c>
      <c r="DC2">
        <f>SUM(P2,R2)</f>
        <v>0</v>
      </c>
      <c r="DD2">
        <f>ROUND(SUM(AY2,BA2),0)</f>
        <v>0</v>
      </c>
      <c r="DE2">
        <f>SUM(W2,Y2)</f>
        <v>0</v>
      </c>
      <c r="DF2">
        <f>ROUND(SUM(BB2,BD2),0)</f>
        <v>0</v>
      </c>
      <c r="DG2">
        <f>SUM(X2,Z2)</f>
        <v>0</v>
      </c>
      <c r="DH2">
        <f>ROUND(SUM(BC2,BE2),0)</f>
        <v>0</v>
      </c>
      <c r="DI2">
        <f>SUM(AE2,AG2)</f>
        <v>0</v>
      </c>
      <c r="DJ2">
        <f>ROUND(SUM(BF2,BH2),0)</f>
        <v>0</v>
      </c>
      <c r="DK2">
        <f>SUM(AF2,AH2)</f>
        <v>0</v>
      </c>
      <c r="DL2">
        <f>ROUND(SUM(BG2,BI2),0)</f>
        <v>0</v>
      </c>
      <c r="DM2">
        <f>MAX(DA2,DE2,DI2)</f>
        <v>10</v>
      </c>
      <c r="DN2">
        <f>MAX(DB2,DF2,DJ2)</f>
        <v>6</v>
      </c>
      <c r="DO2">
        <f>MAX(DC2,DG2,DK2)</f>
        <v>0</v>
      </c>
      <c r="DP2">
        <f>MAX(DD2,DH2,DL2)</f>
        <v>0</v>
      </c>
      <c r="DQ2" s="3" t="s">
        <v>287</v>
      </c>
      <c r="DR2" s="3" t="s">
        <v>288</v>
      </c>
      <c r="DS2" s="3" t="s">
        <v>287</v>
      </c>
      <c r="DT2" s="3" t="s">
        <v>289</v>
      </c>
    </row>
    <row r="3" spans="1:124" ht="72.5" x14ac:dyDescent="0.35">
      <c r="A3" s="2" t="s">
        <v>14</v>
      </c>
      <c r="B3" s="2">
        <v>1988</v>
      </c>
      <c r="C3" s="5" t="s">
        <v>36</v>
      </c>
      <c r="D3" s="3" t="s">
        <v>38</v>
      </c>
      <c r="E3" s="3" t="s">
        <v>41</v>
      </c>
      <c r="F3" s="2" t="s">
        <v>45</v>
      </c>
      <c r="G3" s="3" t="s">
        <v>74</v>
      </c>
      <c r="H3" s="2" t="s">
        <v>50</v>
      </c>
      <c r="I3" s="2" t="s">
        <v>77</v>
      </c>
      <c r="J3" s="2" t="s">
        <v>79</v>
      </c>
      <c r="K3" s="2" t="s">
        <v>51</v>
      </c>
      <c r="L3" s="2" t="s">
        <v>112</v>
      </c>
      <c r="M3" s="3" t="s">
        <v>50</v>
      </c>
      <c r="N3" s="2" t="s">
        <v>50</v>
      </c>
      <c r="O3" s="3">
        <v>6</v>
      </c>
      <c r="P3" s="3">
        <v>0</v>
      </c>
      <c r="Q3" s="3">
        <v>0</v>
      </c>
      <c r="R3" s="3">
        <v>0</v>
      </c>
      <c r="S3" s="3">
        <v>0</v>
      </c>
      <c r="AM3" s="2" t="s">
        <v>51</v>
      </c>
      <c r="AN3" s="3" t="s">
        <v>122</v>
      </c>
      <c r="AO3" s="3" t="str">
        <f>IF(OR(AN3="subset",AN3 ="uncertain"),"N","Y")</f>
        <v>N</v>
      </c>
      <c r="AP3" s="3" t="s">
        <v>51</v>
      </c>
      <c r="AQ3" s="3" t="s">
        <v>50</v>
      </c>
      <c r="AR3" s="3" t="s">
        <v>51</v>
      </c>
      <c r="AS3" t="s">
        <v>128</v>
      </c>
      <c r="AT3" t="s">
        <v>131</v>
      </c>
      <c r="AU3">
        <v>2</v>
      </c>
      <c r="AV3">
        <f t="shared" ref="AV3:AV33" si="15">SUM(K3="Y",AM3="Y",AP3="Y",AQ3="Y",AO3="Y")</f>
        <v>1</v>
      </c>
      <c r="AX3">
        <f t="shared" ref="AX3:AX33" si="16">O3*S3</f>
        <v>0</v>
      </c>
      <c r="AY3">
        <f t="shared" ref="AY3:AY33" si="17">P3*T3</f>
        <v>0</v>
      </c>
      <c r="AZ3">
        <f t="shared" ref="AZ3:AZ33" si="18">Q3*U3</f>
        <v>0</v>
      </c>
      <c r="BA3">
        <f t="shared" ref="BA3:BA33" si="19">R3*V3</f>
        <v>0</v>
      </c>
      <c r="BB3">
        <f t="shared" si="0"/>
        <v>0</v>
      </c>
      <c r="BC3">
        <f t="shared" si="1"/>
        <v>0</v>
      </c>
      <c r="BD3">
        <f t="shared" si="2"/>
        <v>0</v>
      </c>
      <c r="BE3">
        <f t="shared" si="3"/>
        <v>0</v>
      </c>
      <c r="BF3">
        <f t="shared" si="4"/>
        <v>0</v>
      </c>
      <c r="BG3">
        <f t="shared" si="5"/>
        <v>0</v>
      </c>
      <c r="BH3">
        <f t="shared" si="6"/>
        <v>0</v>
      </c>
      <c r="BI3">
        <f t="shared" si="7"/>
        <v>0</v>
      </c>
      <c r="BJ3">
        <f t="shared" ref="BJ3:BJ33" si="20">SUM(K3="Y",AM3="Y")</f>
        <v>0</v>
      </c>
      <c r="BK3">
        <f t="shared" ref="BK3:BK33" si="21">SUM(AP3="Y",AQ3="Y",AO3="Y")</f>
        <v>1</v>
      </c>
      <c r="BL3">
        <f t="shared" ref="BL3:BL33" si="22">SUM(CQ3,CS3)</f>
        <v>6</v>
      </c>
      <c r="BM3">
        <f t="shared" ref="BM3:BM33" si="23">ROUND(SUM(CR3,CT3),0)</f>
        <v>0</v>
      </c>
      <c r="BN3">
        <f t="shared" si="8"/>
        <v>0</v>
      </c>
      <c r="BO3">
        <f t="shared" si="9"/>
        <v>0</v>
      </c>
      <c r="BP3" t="e">
        <f t="shared" si="10"/>
        <v>#DIV/0!</v>
      </c>
      <c r="BQ3" t="e">
        <f t="shared" si="11"/>
        <v>#DIV/0!</v>
      </c>
      <c r="BR3" t="str">
        <f t="shared" si="12"/>
        <v>Yes</v>
      </c>
      <c r="BS3" t="str">
        <f t="shared" si="13"/>
        <v>No</v>
      </c>
      <c r="BT3" t="str">
        <f t="shared" ref="BT3:BT33" si="24">IF(OR(D3="Mexican-American", D3="Non-Hispanic White, Non-Hispanic Black and Hispanic", D3 = "Black, White and Hispanic"),"Yes","No")</f>
        <v>No</v>
      </c>
      <c r="BU3" s="3" t="s">
        <v>137</v>
      </c>
      <c r="BV3" t="s">
        <v>51</v>
      </c>
      <c r="BX3">
        <f t="shared" si="14"/>
        <v>6</v>
      </c>
      <c r="BY3">
        <f t="shared" ref="BY3:BY33" si="25">SUM(AX3,AY3,BB3,BC3,BF3,BG3)</f>
        <v>0</v>
      </c>
      <c r="BZ3">
        <f t="shared" ref="BZ3:BZ33" si="26">SUM(Q3,R3,Y3,Z3,AG3,AH3)</f>
        <v>0</v>
      </c>
      <c r="CA3">
        <f t="shared" ref="CA3:CA33" si="27">SUM(AZ3,BA3,BD3,BE3,BH3,BI3)</f>
        <v>0</v>
      </c>
      <c r="CB3">
        <f t="shared" ref="CB3:CB33" si="28">BY3/BX3</f>
        <v>0</v>
      </c>
      <c r="CC3" t="e">
        <f t="shared" ref="CC3:CC33" si="29">CA3/BZ3</f>
        <v>#DIV/0!</v>
      </c>
      <c r="CD3">
        <f t="shared" ref="CD3:CD33" si="30">CS3/BL3</f>
        <v>0</v>
      </c>
      <c r="CE3">
        <f t="shared" ref="CE3:CE33" si="31">SUM(O3,P3)</f>
        <v>6</v>
      </c>
      <c r="CF3">
        <f t="shared" ref="CF3:CF33" si="32">SUM(AX3,AY3)</f>
        <v>0</v>
      </c>
      <c r="CG3">
        <f t="shared" ref="CG3:CG33" si="33">SUM(Q3,R3)</f>
        <v>0</v>
      </c>
      <c r="CH3">
        <f t="shared" ref="CH3:CH33" si="34">SUM(AZ3,BA3)</f>
        <v>0</v>
      </c>
      <c r="CI3">
        <f t="shared" ref="CI3:CI33" si="35">SUM(W3,X3)</f>
        <v>0</v>
      </c>
      <c r="CJ3">
        <f t="shared" ref="CJ3:CJ33" si="36">SUM(BB3,BC3)</f>
        <v>0</v>
      </c>
      <c r="CK3">
        <f t="shared" ref="CK3:CK33" si="37">SUM(Y3,Z3)</f>
        <v>0</v>
      </c>
      <c r="CL3">
        <f t="shared" ref="CL3:CL33" si="38">SUM(BD3,BE3)</f>
        <v>0</v>
      </c>
      <c r="CM3">
        <f t="shared" ref="CM3:CM33" si="39">SUM(AE3,AF3)</f>
        <v>0</v>
      </c>
      <c r="CN3">
        <f t="shared" ref="CN3:CN33" si="40">SUM(BF3,BG3)</f>
        <v>0</v>
      </c>
      <c r="CO3">
        <f t="shared" ref="CO3:CO33" si="41">SUM(AG3,AH3)</f>
        <v>0</v>
      </c>
      <c r="CP3">
        <f t="shared" ref="CP3:CP33" si="42">SUM(BH3,BI3)</f>
        <v>0</v>
      </c>
      <c r="CQ3">
        <f t="shared" ref="CQ3:CQ33" si="43">MAX(CE3,CI3,CM3)</f>
        <v>6</v>
      </c>
      <c r="CR3">
        <f t="shared" ref="CR3:CR33" si="44">ROUND(MAX(CF3,CJ3,CN3),0)</f>
        <v>0</v>
      </c>
      <c r="CS3">
        <f t="shared" ref="CS3:CS33" si="45">MAX(CG3,CK3,CO3)</f>
        <v>0</v>
      </c>
      <c r="CT3">
        <f t="shared" ref="CT3:CT33" si="46">ROUND(MAX(CH3,CL3,CP3),0)</f>
        <v>0</v>
      </c>
      <c r="CU3">
        <f t="shared" ref="CU3:CU33" si="47">SUM(CE3,CG3)</f>
        <v>6</v>
      </c>
      <c r="CV3">
        <f t="shared" ref="CV3:CV33" si="48">ROUND(SUM(CF3,CH3),0)</f>
        <v>0</v>
      </c>
      <c r="CW3">
        <f t="shared" ref="CW3:CW33" si="49">SUM(CI3,CK3)</f>
        <v>0</v>
      </c>
      <c r="CX3">
        <f t="shared" ref="CX3:CX33" si="50">ROUND(SUM(CJ3,CL3),0)</f>
        <v>0</v>
      </c>
      <c r="CY3">
        <f t="shared" ref="CY3:CY33" si="51">SUM(CM3,CO3)</f>
        <v>0</v>
      </c>
      <c r="CZ3">
        <f t="shared" ref="CZ3:CZ33" si="52">ROUND(SUM(CN3,CP3),0)</f>
        <v>0</v>
      </c>
      <c r="DA3">
        <f t="shared" ref="DA3:DA33" si="53">SUM(O3,Q3)</f>
        <v>6</v>
      </c>
      <c r="DB3">
        <f t="shared" ref="DB3:DB33" si="54">ROUND(SUM(AX3,AZ3),0)</f>
        <v>0</v>
      </c>
      <c r="DC3">
        <f t="shared" ref="DC3:DC33" si="55">SUM(P3,R3)</f>
        <v>0</v>
      </c>
      <c r="DD3">
        <f t="shared" ref="DD3:DD33" si="56">ROUND(SUM(AY3,BA3),0)</f>
        <v>0</v>
      </c>
      <c r="DE3">
        <f t="shared" ref="DE3:DE33" si="57">SUM(W3,Y3)</f>
        <v>0</v>
      </c>
      <c r="DF3">
        <f t="shared" ref="DF3:DF33" si="58">ROUND(SUM(BB3,BD3),0)</f>
        <v>0</v>
      </c>
      <c r="DG3">
        <f t="shared" ref="DG3:DG33" si="59">SUM(X3,Z3)</f>
        <v>0</v>
      </c>
      <c r="DH3">
        <f t="shared" ref="DH3:DH33" si="60">ROUND(SUM(BC3,BE3),0)</f>
        <v>0</v>
      </c>
      <c r="DI3">
        <f t="shared" ref="DI3:DI33" si="61">SUM(AE3,AG3)</f>
        <v>0</v>
      </c>
      <c r="DJ3">
        <f t="shared" ref="DJ3:DJ33" si="62">ROUND(SUM(BF3,BH3),0)</f>
        <v>0</v>
      </c>
      <c r="DK3">
        <f t="shared" ref="DK3:DK33" si="63">SUM(AF3,AH3)</f>
        <v>0</v>
      </c>
      <c r="DL3">
        <f t="shared" ref="DL3:DL33" si="64">ROUND(SUM(BG3,BI3),0)</f>
        <v>0</v>
      </c>
      <c r="DM3">
        <f t="shared" ref="DM3:DM33" si="65">MAX(DA3,DE3,DI3)</f>
        <v>6</v>
      </c>
      <c r="DN3">
        <f t="shared" ref="DN3:DN33" si="66">MAX(DB3,DF3,DJ3)</f>
        <v>0</v>
      </c>
      <c r="DO3">
        <f t="shared" ref="DO3:DO33" si="67">MAX(DC3,DG3,DK3)</f>
        <v>0</v>
      </c>
      <c r="DP3">
        <f t="shared" ref="DP3:DP33" si="68">MAX(DD3,DH3,DL3)</f>
        <v>0</v>
      </c>
      <c r="DQ3" s="3" t="s">
        <v>290</v>
      </c>
      <c r="DR3" s="3"/>
      <c r="DS3" s="3" t="s">
        <v>290</v>
      </c>
      <c r="DT3" s="3"/>
    </row>
    <row r="4" spans="1:124" ht="409.5" x14ac:dyDescent="0.35">
      <c r="A4" s="2" t="s">
        <v>29</v>
      </c>
      <c r="B4" s="2">
        <v>2013</v>
      </c>
      <c r="C4" s="2" t="s">
        <v>172</v>
      </c>
      <c r="D4" s="3" t="s">
        <v>38</v>
      </c>
      <c r="E4" s="3" t="s">
        <v>41</v>
      </c>
      <c r="F4" s="2" t="s">
        <v>69</v>
      </c>
      <c r="G4" s="3" t="s">
        <v>72</v>
      </c>
      <c r="H4" s="2" t="s">
        <v>51</v>
      </c>
      <c r="I4" s="2" t="s">
        <v>70</v>
      </c>
      <c r="J4" s="2" t="s">
        <v>79</v>
      </c>
      <c r="K4" s="2" t="s">
        <v>50</v>
      </c>
      <c r="L4" s="2" t="s">
        <v>113</v>
      </c>
      <c r="M4" s="3" t="s">
        <v>50</v>
      </c>
      <c r="N4" s="2" t="s">
        <v>51</v>
      </c>
      <c r="O4" s="3">
        <v>7</v>
      </c>
      <c r="P4" s="3">
        <v>0</v>
      </c>
      <c r="Q4" s="3">
        <v>6</v>
      </c>
      <c r="R4" s="3">
        <v>0</v>
      </c>
      <c r="S4" s="3">
        <v>0</v>
      </c>
      <c r="U4" s="3">
        <v>0.83</v>
      </c>
      <c r="AM4" s="2" t="s">
        <v>51</v>
      </c>
      <c r="AN4" s="3" t="s">
        <v>122</v>
      </c>
      <c r="AO4" s="3" t="s">
        <v>51</v>
      </c>
      <c r="AP4" s="3" t="s">
        <v>50</v>
      </c>
      <c r="AQ4" s="3" t="s">
        <v>51</v>
      </c>
      <c r="AR4" s="3" t="s">
        <v>51</v>
      </c>
      <c r="AS4" t="s">
        <v>128</v>
      </c>
      <c r="AT4" t="s">
        <v>132</v>
      </c>
      <c r="AU4">
        <v>11</v>
      </c>
      <c r="AV4">
        <f t="shared" si="15"/>
        <v>2</v>
      </c>
      <c r="AX4">
        <f t="shared" si="16"/>
        <v>0</v>
      </c>
      <c r="AY4">
        <f t="shared" si="17"/>
        <v>0</v>
      </c>
      <c r="AZ4">
        <f t="shared" si="18"/>
        <v>4.9799999999999995</v>
      </c>
      <c r="BA4">
        <f t="shared" si="19"/>
        <v>0</v>
      </c>
      <c r="BB4">
        <f t="shared" si="0"/>
        <v>0</v>
      </c>
      <c r="BC4">
        <f t="shared" si="1"/>
        <v>0</v>
      </c>
      <c r="BD4">
        <f t="shared" si="2"/>
        <v>0</v>
      </c>
      <c r="BE4">
        <f t="shared" si="3"/>
        <v>0</v>
      </c>
      <c r="BF4">
        <f t="shared" si="4"/>
        <v>0</v>
      </c>
      <c r="BG4">
        <f t="shared" si="5"/>
        <v>0</v>
      </c>
      <c r="BH4">
        <f t="shared" si="6"/>
        <v>0</v>
      </c>
      <c r="BI4">
        <f t="shared" si="7"/>
        <v>0</v>
      </c>
      <c r="BJ4">
        <f t="shared" si="20"/>
        <v>1</v>
      </c>
      <c r="BK4">
        <f t="shared" si="21"/>
        <v>1</v>
      </c>
      <c r="BL4">
        <f t="shared" si="22"/>
        <v>13</v>
      </c>
      <c r="BM4">
        <f t="shared" si="23"/>
        <v>5</v>
      </c>
      <c r="BN4">
        <f t="shared" si="8"/>
        <v>0.38461538461538464</v>
      </c>
      <c r="BO4">
        <f t="shared" si="9"/>
        <v>0.38307692307692304</v>
      </c>
      <c r="BP4" t="e">
        <f t="shared" si="10"/>
        <v>#DIV/0!</v>
      </c>
      <c r="BQ4" t="e">
        <f t="shared" si="11"/>
        <v>#DIV/0!</v>
      </c>
      <c r="BR4" t="str">
        <f t="shared" si="12"/>
        <v>Yes</v>
      </c>
      <c r="BS4" t="str">
        <f t="shared" si="13"/>
        <v>No</v>
      </c>
      <c r="BT4" t="str">
        <f t="shared" si="24"/>
        <v>No</v>
      </c>
      <c r="BU4" s="3" t="s">
        <v>137</v>
      </c>
      <c r="BV4" t="s">
        <v>51</v>
      </c>
      <c r="BX4">
        <f t="shared" si="14"/>
        <v>7</v>
      </c>
      <c r="BY4">
        <f t="shared" si="25"/>
        <v>0</v>
      </c>
      <c r="BZ4">
        <f t="shared" si="26"/>
        <v>6</v>
      </c>
      <c r="CA4">
        <f t="shared" si="27"/>
        <v>4.9799999999999995</v>
      </c>
      <c r="CB4">
        <f t="shared" si="28"/>
        <v>0</v>
      </c>
      <c r="CC4">
        <f t="shared" si="29"/>
        <v>0.83</v>
      </c>
      <c r="CD4">
        <f t="shared" si="30"/>
        <v>0.46153846153846156</v>
      </c>
      <c r="CE4">
        <f t="shared" si="31"/>
        <v>7</v>
      </c>
      <c r="CF4">
        <f t="shared" si="32"/>
        <v>0</v>
      </c>
      <c r="CG4">
        <f t="shared" si="33"/>
        <v>6</v>
      </c>
      <c r="CH4">
        <f t="shared" si="34"/>
        <v>4.9799999999999995</v>
      </c>
      <c r="CI4">
        <f t="shared" si="35"/>
        <v>0</v>
      </c>
      <c r="CJ4">
        <f t="shared" si="36"/>
        <v>0</v>
      </c>
      <c r="CK4">
        <f t="shared" si="37"/>
        <v>0</v>
      </c>
      <c r="CL4">
        <f t="shared" si="38"/>
        <v>0</v>
      </c>
      <c r="CM4">
        <f t="shared" si="39"/>
        <v>0</v>
      </c>
      <c r="CN4">
        <f t="shared" si="40"/>
        <v>0</v>
      </c>
      <c r="CO4">
        <f t="shared" si="41"/>
        <v>0</v>
      </c>
      <c r="CP4">
        <f t="shared" si="42"/>
        <v>0</v>
      </c>
      <c r="CQ4">
        <f t="shared" si="43"/>
        <v>7</v>
      </c>
      <c r="CR4">
        <f t="shared" si="44"/>
        <v>0</v>
      </c>
      <c r="CS4">
        <f t="shared" si="45"/>
        <v>6</v>
      </c>
      <c r="CT4">
        <f t="shared" si="46"/>
        <v>5</v>
      </c>
      <c r="CU4">
        <f t="shared" si="47"/>
        <v>13</v>
      </c>
      <c r="CV4">
        <f t="shared" si="48"/>
        <v>5</v>
      </c>
      <c r="CW4">
        <f t="shared" si="49"/>
        <v>0</v>
      </c>
      <c r="CX4">
        <f t="shared" si="50"/>
        <v>0</v>
      </c>
      <c r="CY4">
        <f t="shared" si="51"/>
        <v>0</v>
      </c>
      <c r="CZ4">
        <f t="shared" si="52"/>
        <v>0</v>
      </c>
      <c r="DA4">
        <f t="shared" si="53"/>
        <v>13</v>
      </c>
      <c r="DB4">
        <f t="shared" si="54"/>
        <v>5</v>
      </c>
      <c r="DC4">
        <f t="shared" si="55"/>
        <v>0</v>
      </c>
      <c r="DD4">
        <f t="shared" si="56"/>
        <v>0</v>
      </c>
      <c r="DE4">
        <f t="shared" si="57"/>
        <v>0</v>
      </c>
      <c r="DF4">
        <f t="shared" si="58"/>
        <v>0</v>
      </c>
      <c r="DG4">
        <f t="shared" si="59"/>
        <v>0</v>
      </c>
      <c r="DH4">
        <f t="shared" si="60"/>
        <v>0</v>
      </c>
      <c r="DI4">
        <f t="shared" si="61"/>
        <v>0</v>
      </c>
      <c r="DJ4">
        <f t="shared" si="62"/>
        <v>0</v>
      </c>
      <c r="DK4">
        <f t="shared" si="63"/>
        <v>0</v>
      </c>
      <c r="DL4">
        <f t="shared" si="64"/>
        <v>0</v>
      </c>
      <c r="DM4">
        <f t="shared" si="65"/>
        <v>13</v>
      </c>
      <c r="DN4">
        <f t="shared" si="66"/>
        <v>5</v>
      </c>
      <c r="DO4">
        <f t="shared" si="67"/>
        <v>0</v>
      </c>
      <c r="DP4">
        <f t="shared" si="68"/>
        <v>0</v>
      </c>
      <c r="DQ4" s="3" t="s">
        <v>291</v>
      </c>
      <c r="DR4" s="3" t="s">
        <v>292</v>
      </c>
      <c r="DS4" s="3" t="s">
        <v>291</v>
      </c>
      <c r="DT4" s="3" t="s">
        <v>293</v>
      </c>
    </row>
    <row r="5" spans="1:124" ht="58" x14ac:dyDescent="0.35">
      <c r="A5" s="2" t="s">
        <v>27</v>
      </c>
      <c r="B5" s="2">
        <v>2010</v>
      </c>
      <c r="C5" s="2" t="s">
        <v>173</v>
      </c>
      <c r="D5" s="3" t="s">
        <v>38</v>
      </c>
      <c r="E5" s="3" t="s">
        <v>41</v>
      </c>
      <c r="F5" s="2" t="s">
        <v>45</v>
      </c>
      <c r="G5" s="3" t="s">
        <v>74</v>
      </c>
      <c r="H5" s="2" t="s">
        <v>50</v>
      </c>
      <c r="I5" s="2" t="s">
        <v>70</v>
      </c>
      <c r="J5" s="2" t="s">
        <v>79</v>
      </c>
      <c r="K5" s="2" t="s">
        <v>50</v>
      </c>
      <c r="L5" s="2" t="s">
        <v>111</v>
      </c>
      <c r="M5" s="3" t="s">
        <v>50</v>
      </c>
      <c r="N5" s="2" t="s">
        <v>50</v>
      </c>
      <c r="O5" s="3">
        <v>0</v>
      </c>
      <c r="P5" s="3">
        <v>0</v>
      </c>
      <c r="Q5" s="3">
        <v>10</v>
      </c>
      <c r="R5" s="3">
        <v>0</v>
      </c>
      <c r="U5" s="3">
        <v>0.8</v>
      </c>
      <c r="AM5" s="2" t="s">
        <v>50</v>
      </c>
      <c r="AN5" s="3" t="s">
        <v>122</v>
      </c>
      <c r="AO5" s="3" t="str">
        <f>IF(OR(AN5="subset",AN5 ="uncertain"),"N","Y")</f>
        <v>N</v>
      </c>
      <c r="AP5" s="3" t="s">
        <v>50</v>
      </c>
      <c r="AQ5" s="3" t="s">
        <v>50</v>
      </c>
      <c r="AR5" s="3" t="s">
        <v>51</v>
      </c>
      <c r="AS5" t="s">
        <v>128</v>
      </c>
      <c r="AT5" t="s">
        <v>132</v>
      </c>
      <c r="AU5">
        <v>6</v>
      </c>
      <c r="AV5">
        <f t="shared" si="15"/>
        <v>4</v>
      </c>
      <c r="AX5">
        <f t="shared" si="16"/>
        <v>0</v>
      </c>
      <c r="AY5">
        <f t="shared" si="17"/>
        <v>0</v>
      </c>
      <c r="AZ5">
        <f t="shared" si="18"/>
        <v>8</v>
      </c>
      <c r="BA5">
        <f t="shared" si="19"/>
        <v>0</v>
      </c>
      <c r="BB5">
        <f t="shared" si="0"/>
        <v>0</v>
      </c>
      <c r="BC5">
        <f t="shared" si="1"/>
        <v>0</v>
      </c>
      <c r="BD5">
        <f t="shared" si="2"/>
        <v>0</v>
      </c>
      <c r="BE5">
        <f t="shared" si="3"/>
        <v>0</v>
      </c>
      <c r="BF5">
        <f t="shared" si="4"/>
        <v>0</v>
      </c>
      <c r="BG5">
        <f t="shared" si="5"/>
        <v>0</v>
      </c>
      <c r="BH5">
        <f t="shared" si="6"/>
        <v>0</v>
      </c>
      <c r="BI5">
        <f t="shared" si="7"/>
        <v>0</v>
      </c>
      <c r="BJ5">
        <f t="shared" si="20"/>
        <v>2</v>
      </c>
      <c r="BK5">
        <f t="shared" si="21"/>
        <v>2</v>
      </c>
      <c r="BL5">
        <f t="shared" si="22"/>
        <v>10</v>
      </c>
      <c r="BM5">
        <f t="shared" si="23"/>
        <v>8</v>
      </c>
      <c r="BN5">
        <f t="shared" si="8"/>
        <v>0.8</v>
      </c>
      <c r="BO5">
        <f t="shared" si="9"/>
        <v>0.8</v>
      </c>
      <c r="BP5" t="e">
        <f t="shared" si="10"/>
        <v>#DIV/0!</v>
      </c>
      <c r="BQ5" t="e">
        <f t="shared" si="11"/>
        <v>#DIV/0!</v>
      </c>
      <c r="BR5" t="str">
        <f t="shared" si="12"/>
        <v>Yes</v>
      </c>
      <c r="BS5" t="str">
        <f t="shared" si="13"/>
        <v>No</v>
      </c>
      <c r="BT5" t="str">
        <f t="shared" si="24"/>
        <v>No</v>
      </c>
      <c r="BU5" s="3" t="s">
        <v>138</v>
      </c>
      <c r="BV5" t="s">
        <v>50</v>
      </c>
      <c r="BW5" t="s">
        <v>145</v>
      </c>
      <c r="BX5">
        <f t="shared" si="14"/>
        <v>0</v>
      </c>
      <c r="BY5">
        <f t="shared" si="25"/>
        <v>0</v>
      </c>
      <c r="BZ5">
        <f t="shared" si="26"/>
        <v>10</v>
      </c>
      <c r="CA5">
        <f t="shared" si="27"/>
        <v>8</v>
      </c>
      <c r="CB5" t="e">
        <f t="shared" si="28"/>
        <v>#DIV/0!</v>
      </c>
      <c r="CC5">
        <f t="shared" si="29"/>
        <v>0.8</v>
      </c>
      <c r="CD5">
        <f t="shared" si="30"/>
        <v>1</v>
      </c>
      <c r="CE5">
        <f t="shared" si="31"/>
        <v>0</v>
      </c>
      <c r="CF5">
        <f t="shared" si="32"/>
        <v>0</v>
      </c>
      <c r="CG5">
        <f t="shared" si="33"/>
        <v>10</v>
      </c>
      <c r="CH5">
        <f t="shared" si="34"/>
        <v>8</v>
      </c>
      <c r="CI5">
        <f t="shared" si="35"/>
        <v>0</v>
      </c>
      <c r="CJ5">
        <f t="shared" si="36"/>
        <v>0</v>
      </c>
      <c r="CK5">
        <f t="shared" si="37"/>
        <v>0</v>
      </c>
      <c r="CL5">
        <f t="shared" si="38"/>
        <v>0</v>
      </c>
      <c r="CM5">
        <f t="shared" si="39"/>
        <v>0</v>
      </c>
      <c r="CN5">
        <f t="shared" si="40"/>
        <v>0</v>
      </c>
      <c r="CO5">
        <f t="shared" si="41"/>
        <v>0</v>
      </c>
      <c r="CP5">
        <f t="shared" si="42"/>
        <v>0</v>
      </c>
      <c r="CQ5">
        <f t="shared" si="43"/>
        <v>0</v>
      </c>
      <c r="CR5">
        <f t="shared" si="44"/>
        <v>0</v>
      </c>
      <c r="CS5">
        <f t="shared" si="45"/>
        <v>10</v>
      </c>
      <c r="CT5">
        <f t="shared" si="46"/>
        <v>8</v>
      </c>
      <c r="CU5">
        <f t="shared" si="47"/>
        <v>10</v>
      </c>
      <c r="CV5">
        <f t="shared" si="48"/>
        <v>8</v>
      </c>
      <c r="CW5">
        <f t="shared" si="49"/>
        <v>0</v>
      </c>
      <c r="CX5">
        <f t="shared" si="50"/>
        <v>0</v>
      </c>
      <c r="CY5">
        <f t="shared" si="51"/>
        <v>0</v>
      </c>
      <c r="CZ5">
        <f t="shared" si="52"/>
        <v>0</v>
      </c>
      <c r="DA5">
        <f t="shared" si="53"/>
        <v>10</v>
      </c>
      <c r="DB5">
        <f t="shared" si="54"/>
        <v>8</v>
      </c>
      <c r="DC5">
        <f t="shared" si="55"/>
        <v>0</v>
      </c>
      <c r="DD5">
        <f t="shared" si="56"/>
        <v>0</v>
      </c>
      <c r="DE5">
        <f t="shared" si="57"/>
        <v>0</v>
      </c>
      <c r="DF5">
        <f t="shared" si="58"/>
        <v>0</v>
      </c>
      <c r="DG5">
        <f t="shared" si="59"/>
        <v>0</v>
      </c>
      <c r="DH5">
        <f t="shared" si="60"/>
        <v>0</v>
      </c>
      <c r="DI5">
        <f t="shared" si="61"/>
        <v>0</v>
      </c>
      <c r="DJ5">
        <f t="shared" si="62"/>
        <v>0</v>
      </c>
      <c r="DK5">
        <f t="shared" si="63"/>
        <v>0</v>
      </c>
      <c r="DL5">
        <f t="shared" si="64"/>
        <v>0</v>
      </c>
      <c r="DM5">
        <f t="shared" si="65"/>
        <v>10</v>
      </c>
      <c r="DN5">
        <f t="shared" si="66"/>
        <v>8</v>
      </c>
      <c r="DO5">
        <f t="shared" si="67"/>
        <v>0</v>
      </c>
      <c r="DP5">
        <f t="shared" si="68"/>
        <v>0</v>
      </c>
      <c r="DQ5" s="3"/>
      <c r="DR5" s="3"/>
      <c r="DS5" s="3"/>
      <c r="DT5" s="3"/>
    </row>
    <row r="6" spans="1:124" ht="188.5" x14ac:dyDescent="0.35">
      <c r="A6" s="2" t="s">
        <v>11</v>
      </c>
      <c r="B6" s="2">
        <v>1982</v>
      </c>
      <c r="C6" s="2" t="s">
        <v>173</v>
      </c>
      <c r="D6" s="3" t="s">
        <v>41</v>
      </c>
      <c r="E6" s="3" t="s">
        <v>41</v>
      </c>
      <c r="F6" s="2" t="s">
        <v>59</v>
      </c>
      <c r="G6" s="3" t="s">
        <v>72</v>
      </c>
      <c r="H6" s="2" t="s">
        <v>51</v>
      </c>
      <c r="I6" s="2" t="s">
        <v>70</v>
      </c>
      <c r="J6" s="2" t="s">
        <v>79</v>
      </c>
      <c r="K6" s="2" t="s">
        <v>50</v>
      </c>
      <c r="L6" s="2" t="s">
        <v>113</v>
      </c>
      <c r="M6" s="3" t="s">
        <v>51</v>
      </c>
      <c r="N6" s="2" t="s">
        <v>50</v>
      </c>
      <c r="O6" s="3">
        <v>10</v>
      </c>
      <c r="P6" s="3">
        <v>0</v>
      </c>
      <c r="Q6" s="3">
        <v>13</v>
      </c>
      <c r="R6" s="3">
        <v>0</v>
      </c>
      <c r="S6" s="3">
        <v>0</v>
      </c>
      <c r="U6" s="3">
        <v>0.08</v>
      </c>
      <c r="W6" s="3">
        <v>10</v>
      </c>
      <c r="X6" s="3">
        <v>0</v>
      </c>
      <c r="Y6" s="3">
        <v>13</v>
      </c>
      <c r="Z6" s="3">
        <v>0</v>
      </c>
      <c r="AA6" s="3">
        <v>0</v>
      </c>
      <c r="AC6" s="3">
        <v>0.69</v>
      </c>
      <c r="AM6" s="2" t="s">
        <v>51</v>
      </c>
      <c r="AN6" s="3" t="s">
        <v>121</v>
      </c>
      <c r="AO6" s="3" t="str">
        <f>IF(OR(AN6="subset",AN6 ="uncertain"),"N","Y")</f>
        <v>Y</v>
      </c>
      <c r="AP6" s="3" t="s">
        <v>51</v>
      </c>
      <c r="AQ6" s="3" t="s">
        <v>50</v>
      </c>
      <c r="AR6" s="3" t="s">
        <v>51</v>
      </c>
      <c r="AS6" t="s">
        <v>127</v>
      </c>
      <c r="AT6" t="s">
        <v>131</v>
      </c>
      <c r="AU6">
        <v>2</v>
      </c>
      <c r="AV6">
        <f t="shared" si="15"/>
        <v>3</v>
      </c>
      <c r="AX6">
        <f t="shared" si="16"/>
        <v>0</v>
      </c>
      <c r="AY6">
        <f t="shared" si="17"/>
        <v>0</v>
      </c>
      <c r="AZ6">
        <f t="shared" si="18"/>
        <v>1.04</v>
      </c>
      <c r="BA6">
        <f t="shared" si="19"/>
        <v>0</v>
      </c>
      <c r="BB6">
        <f t="shared" si="0"/>
        <v>0</v>
      </c>
      <c r="BC6">
        <f t="shared" si="1"/>
        <v>0</v>
      </c>
      <c r="BD6">
        <f t="shared" si="2"/>
        <v>8.9699999999999989</v>
      </c>
      <c r="BE6">
        <f t="shared" si="3"/>
        <v>0</v>
      </c>
      <c r="BF6">
        <f t="shared" si="4"/>
        <v>0</v>
      </c>
      <c r="BG6">
        <f t="shared" si="5"/>
        <v>0</v>
      </c>
      <c r="BH6">
        <f t="shared" si="6"/>
        <v>0</v>
      </c>
      <c r="BI6">
        <f t="shared" si="7"/>
        <v>0</v>
      </c>
      <c r="BJ6">
        <f t="shared" si="20"/>
        <v>1</v>
      </c>
      <c r="BK6">
        <f t="shared" si="21"/>
        <v>2</v>
      </c>
      <c r="BL6">
        <f t="shared" si="22"/>
        <v>23</v>
      </c>
      <c r="BM6">
        <f t="shared" si="23"/>
        <v>9</v>
      </c>
      <c r="BN6">
        <f t="shared" si="8"/>
        <v>0.39130434782608697</v>
      </c>
      <c r="BO6">
        <f t="shared" si="9"/>
        <v>4.5217391304347827E-2</v>
      </c>
      <c r="BP6">
        <f t="shared" si="10"/>
        <v>0.38999999999999996</v>
      </c>
      <c r="BQ6" t="e">
        <f t="shared" si="11"/>
        <v>#DIV/0!</v>
      </c>
      <c r="BR6" t="str">
        <f t="shared" si="12"/>
        <v>Yes</v>
      </c>
      <c r="BS6" t="str">
        <f t="shared" si="13"/>
        <v>Yes</v>
      </c>
      <c r="BT6" t="str">
        <f t="shared" si="24"/>
        <v>No</v>
      </c>
      <c r="BU6" s="3" t="s">
        <v>36</v>
      </c>
      <c r="BV6" t="s">
        <v>51</v>
      </c>
      <c r="BX6">
        <f t="shared" si="14"/>
        <v>20</v>
      </c>
      <c r="BY6">
        <f t="shared" si="25"/>
        <v>0</v>
      </c>
      <c r="BZ6">
        <f t="shared" si="26"/>
        <v>26</v>
      </c>
      <c r="CA6">
        <f t="shared" si="27"/>
        <v>10.009999999999998</v>
      </c>
      <c r="CB6">
        <f t="shared" si="28"/>
        <v>0</v>
      </c>
      <c r="CC6">
        <f t="shared" si="29"/>
        <v>0.3849999999999999</v>
      </c>
      <c r="CD6">
        <f t="shared" si="30"/>
        <v>0.56521739130434778</v>
      </c>
      <c r="CE6">
        <f t="shared" si="31"/>
        <v>10</v>
      </c>
      <c r="CF6">
        <f t="shared" si="32"/>
        <v>0</v>
      </c>
      <c r="CG6">
        <f t="shared" si="33"/>
        <v>13</v>
      </c>
      <c r="CH6">
        <f t="shared" si="34"/>
        <v>1.04</v>
      </c>
      <c r="CI6">
        <f t="shared" si="35"/>
        <v>10</v>
      </c>
      <c r="CJ6">
        <f t="shared" si="36"/>
        <v>0</v>
      </c>
      <c r="CK6">
        <f t="shared" si="37"/>
        <v>13</v>
      </c>
      <c r="CL6">
        <f t="shared" si="38"/>
        <v>8.9699999999999989</v>
      </c>
      <c r="CM6">
        <f t="shared" si="39"/>
        <v>0</v>
      </c>
      <c r="CN6">
        <f t="shared" si="40"/>
        <v>0</v>
      </c>
      <c r="CO6">
        <f t="shared" si="41"/>
        <v>0</v>
      </c>
      <c r="CP6">
        <f t="shared" si="42"/>
        <v>0</v>
      </c>
      <c r="CQ6">
        <f t="shared" si="43"/>
        <v>10</v>
      </c>
      <c r="CR6">
        <f t="shared" si="44"/>
        <v>0</v>
      </c>
      <c r="CS6">
        <f t="shared" si="45"/>
        <v>13</v>
      </c>
      <c r="CT6">
        <f t="shared" si="46"/>
        <v>9</v>
      </c>
      <c r="CU6">
        <f t="shared" si="47"/>
        <v>23</v>
      </c>
      <c r="CV6">
        <f t="shared" si="48"/>
        <v>1</v>
      </c>
      <c r="CW6">
        <f t="shared" si="49"/>
        <v>23</v>
      </c>
      <c r="CX6">
        <f t="shared" si="50"/>
        <v>9</v>
      </c>
      <c r="CY6">
        <f t="shared" si="51"/>
        <v>0</v>
      </c>
      <c r="CZ6">
        <f t="shared" si="52"/>
        <v>0</v>
      </c>
      <c r="DA6">
        <f t="shared" si="53"/>
        <v>23</v>
      </c>
      <c r="DB6">
        <f t="shared" si="54"/>
        <v>1</v>
      </c>
      <c r="DC6">
        <f t="shared" si="55"/>
        <v>0</v>
      </c>
      <c r="DD6">
        <f t="shared" si="56"/>
        <v>0</v>
      </c>
      <c r="DE6">
        <f t="shared" si="57"/>
        <v>23</v>
      </c>
      <c r="DF6">
        <f t="shared" si="58"/>
        <v>9</v>
      </c>
      <c r="DG6">
        <f t="shared" si="59"/>
        <v>0</v>
      </c>
      <c r="DH6">
        <f t="shared" si="60"/>
        <v>0</v>
      </c>
      <c r="DI6">
        <f t="shared" si="61"/>
        <v>0</v>
      </c>
      <c r="DJ6">
        <f t="shared" si="62"/>
        <v>0</v>
      </c>
      <c r="DK6">
        <f t="shared" si="63"/>
        <v>0</v>
      </c>
      <c r="DL6">
        <f t="shared" si="64"/>
        <v>0</v>
      </c>
      <c r="DM6">
        <f t="shared" si="65"/>
        <v>23</v>
      </c>
      <c r="DN6">
        <f t="shared" si="66"/>
        <v>9</v>
      </c>
      <c r="DO6">
        <f t="shared" si="67"/>
        <v>0</v>
      </c>
      <c r="DP6">
        <f t="shared" si="68"/>
        <v>0</v>
      </c>
      <c r="DQ6" s="3" t="s">
        <v>287</v>
      </c>
      <c r="DR6" s="3" t="s">
        <v>294</v>
      </c>
      <c r="DS6" s="3" t="s">
        <v>290</v>
      </c>
      <c r="DT6" s="3"/>
    </row>
    <row r="7" spans="1:124" ht="409.5" x14ac:dyDescent="0.35">
      <c r="A7" s="2" t="s">
        <v>17</v>
      </c>
      <c r="B7" s="2">
        <v>1997</v>
      </c>
      <c r="C7" s="2" t="s">
        <v>173</v>
      </c>
      <c r="D7" s="3" t="s">
        <v>38</v>
      </c>
      <c r="E7" s="3" t="s">
        <v>41</v>
      </c>
      <c r="F7" s="2" t="s">
        <v>45</v>
      </c>
      <c r="G7" s="3" t="s">
        <v>74</v>
      </c>
      <c r="H7" s="2" t="s">
        <v>50</v>
      </c>
      <c r="I7" s="2" t="s">
        <v>70</v>
      </c>
      <c r="J7" s="2" t="s">
        <v>79</v>
      </c>
      <c r="K7" s="2" t="s">
        <v>50</v>
      </c>
      <c r="L7" s="2" t="s">
        <v>111</v>
      </c>
      <c r="M7" s="3" t="s">
        <v>51</v>
      </c>
      <c r="N7" s="2" t="s">
        <v>50</v>
      </c>
      <c r="O7" s="3">
        <v>0</v>
      </c>
      <c r="P7" s="3">
        <v>0</v>
      </c>
      <c r="Q7" s="3">
        <v>6</v>
      </c>
      <c r="R7" s="3">
        <v>0</v>
      </c>
      <c r="U7" s="3">
        <v>1</v>
      </c>
      <c r="AM7" s="2" t="s">
        <v>51</v>
      </c>
      <c r="AN7" s="3" t="s">
        <v>122</v>
      </c>
      <c r="AO7" s="3" t="str">
        <f>IF(OR(AN7="subset",AN7 ="uncertain"),"N","Y")</f>
        <v>N</v>
      </c>
      <c r="AP7" s="3" t="s">
        <v>51</v>
      </c>
      <c r="AQ7" s="3" t="s">
        <v>51</v>
      </c>
      <c r="AR7" s="3" t="s">
        <v>51</v>
      </c>
      <c r="AS7" t="s">
        <v>128</v>
      </c>
      <c r="AT7" t="s">
        <v>131</v>
      </c>
      <c r="AU7">
        <v>9</v>
      </c>
      <c r="AV7">
        <f t="shared" si="15"/>
        <v>1</v>
      </c>
      <c r="AX7">
        <f t="shared" si="16"/>
        <v>0</v>
      </c>
      <c r="AY7">
        <f t="shared" si="17"/>
        <v>0</v>
      </c>
      <c r="AZ7">
        <f t="shared" si="18"/>
        <v>6</v>
      </c>
      <c r="BA7">
        <f t="shared" si="19"/>
        <v>0</v>
      </c>
      <c r="BB7">
        <f t="shared" si="0"/>
        <v>0</v>
      </c>
      <c r="BC7">
        <f t="shared" si="1"/>
        <v>0</v>
      </c>
      <c r="BD7">
        <f t="shared" si="2"/>
        <v>0</v>
      </c>
      <c r="BE7">
        <f t="shared" si="3"/>
        <v>0</v>
      </c>
      <c r="BF7">
        <f t="shared" si="4"/>
        <v>0</v>
      </c>
      <c r="BG7">
        <f t="shared" si="5"/>
        <v>0</v>
      </c>
      <c r="BH7">
        <f t="shared" si="6"/>
        <v>0</v>
      </c>
      <c r="BI7">
        <f t="shared" si="7"/>
        <v>0</v>
      </c>
      <c r="BJ7">
        <f t="shared" si="20"/>
        <v>1</v>
      </c>
      <c r="BK7">
        <f t="shared" si="21"/>
        <v>0</v>
      </c>
      <c r="BL7">
        <f t="shared" si="22"/>
        <v>6</v>
      </c>
      <c r="BM7">
        <f t="shared" si="23"/>
        <v>6</v>
      </c>
      <c r="BN7">
        <f t="shared" si="8"/>
        <v>1</v>
      </c>
      <c r="BO7">
        <f t="shared" si="9"/>
        <v>1</v>
      </c>
      <c r="BP7" t="e">
        <f t="shared" si="10"/>
        <v>#DIV/0!</v>
      </c>
      <c r="BQ7" t="e">
        <f t="shared" si="11"/>
        <v>#DIV/0!</v>
      </c>
      <c r="BR7" t="str">
        <f t="shared" si="12"/>
        <v>Yes</v>
      </c>
      <c r="BS7" t="str">
        <f t="shared" si="13"/>
        <v>No</v>
      </c>
      <c r="BT7" t="str">
        <f t="shared" si="24"/>
        <v>No</v>
      </c>
      <c r="BU7" s="3" t="s">
        <v>36</v>
      </c>
      <c r="BV7" t="s">
        <v>51</v>
      </c>
      <c r="BX7">
        <f t="shared" si="14"/>
        <v>0</v>
      </c>
      <c r="BY7">
        <f t="shared" si="25"/>
        <v>0</v>
      </c>
      <c r="BZ7">
        <f t="shared" si="26"/>
        <v>6</v>
      </c>
      <c r="CA7">
        <f t="shared" si="27"/>
        <v>6</v>
      </c>
      <c r="CB7" t="e">
        <f t="shared" si="28"/>
        <v>#DIV/0!</v>
      </c>
      <c r="CC7">
        <f t="shared" si="29"/>
        <v>1</v>
      </c>
      <c r="CD7">
        <f t="shared" si="30"/>
        <v>1</v>
      </c>
      <c r="CE7">
        <f t="shared" si="31"/>
        <v>0</v>
      </c>
      <c r="CF7">
        <f t="shared" si="32"/>
        <v>0</v>
      </c>
      <c r="CG7">
        <f t="shared" si="33"/>
        <v>6</v>
      </c>
      <c r="CH7">
        <f t="shared" si="34"/>
        <v>6</v>
      </c>
      <c r="CI7">
        <f t="shared" si="35"/>
        <v>0</v>
      </c>
      <c r="CJ7">
        <f t="shared" si="36"/>
        <v>0</v>
      </c>
      <c r="CK7">
        <f t="shared" si="37"/>
        <v>0</v>
      </c>
      <c r="CL7">
        <f t="shared" si="38"/>
        <v>0</v>
      </c>
      <c r="CM7">
        <f t="shared" si="39"/>
        <v>0</v>
      </c>
      <c r="CN7">
        <f t="shared" si="40"/>
        <v>0</v>
      </c>
      <c r="CO7">
        <f t="shared" si="41"/>
        <v>0</v>
      </c>
      <c r="CP7">
        <f t="shared" si="42"/>
        <v>0</v>
      </c>
      <c r="CQ7">
        <f t="shared" si="43"/>
        <v>0</v>
      </c>
      <c r="CR7">
        <f t="shared" si="44"/>
        <v>0</v>
      </c>
      <c r="CS7">
        <f t="shared" si="45"/>
        <v>6</v>
      </c>
      <c r="CT7">
        <f t="shared" si="46"/>
        <v>6</v>
      </c>
      <c r="CU7">
        <f t="shared" si="47"/>
        <v>6</v>
      </c>
      <c r="CV7">
        <f t="shared" si="48"/>
        <v>6</v>
      </c>
      <c r="CW7">
        <f t="shared" si="49"/>
        <v>0</v>
      </c>
      <c r="CX7">
        <f t="shared" si="50"/>
        <v>0</v>
      </c>
      <c r="CY7">
        <f t="shared" si="51"/>
        <v>0</v>
      </c>
      <c r="CZ7">
        <f t="shared" si="52"/>
        <v>0</v>
      </c>
      <c r="DA7">
        <f t="shared" si="53"/>
        <v>6</v>
      </c>
      <c r="DB7">
        <f t="shared" si="54"/>
        <v>6</v>
      </c>
      <c r="DC7">
        <f t="shared" si="55"/>
        <v>0</v>
      </c>
      <c r="DD7">
        <f t="shared" si="56"/>
        <v>0</v>
      </c>
      <c r="DE7">
        <f t="shared" si="57"/>
        <v>0</v>
      </c>
      <c r="DF7">
        <f t="shared" si="58"/>
        <v>0</v>
      </c>
      <c r="DG7">
        <f t="shared" si="59"/>
        <v>0</v>
      </c>
      <c r="DH7">
        <f t="shared" si="60"/>
        <v>0</v>
      </c>
      <c r="DI7">
        <f t="shared" si="61"/>
        <v>0</v>
      </c>
      <c r="DJ7">
        <f t="shared" si="62"/>
        <v>0</v>
      </c>
      <c r="DK7">
        <f t="shared" si="63"/>
        <v>0</v>
      </c>
      <c r="DL7">
        <f t="shared" si="64"/>
        <v>0</v>
      </c>
      <c r="DM7">
        <f t="shared" si="65"/>
        <v>6</v>
      </c>
      <c r="DN7">
        <f t="shared" si="66"/>
        <v>6</v>
      </c>
      <c r="DO7">
        <f t="shared" si="67"/>
        <v>0</v>
      </c>
      <c r="DP7">
        <f t="shared" si="68"/>
        <v>0</v>
      </c>
      <c r="DQ7" s="3" t="s">
        <v>291</v>
      </c>
      <c r="DR7" s="3" t="s">
        <v>296</v>
      </c>
      <c r="DS7" s="3" t="s">
        <v>291</v>
      </c>
      <c r="DT7" s="3" t="s">
        <v>295</v>
      </c>
    </row>
    <row r="8" spans="1:124" ht="43.5" x14ac:dyDescent="0.35">
      <c r="A8" s="2" t="s">
        <v>18</v>
      </c>
      <c r="B8" s="2">
        <v>1997</v>
      </c>
      <c r="C8" s="2" t="s">
        <v>173</v>
      </c>
      <c r="D8" s="3" t="s">
        <v>38</v>
      </c>
      <c r="E8" s="3" t="s">
        <v>41</v>
      </c>
      <c r="F8" s="2" t="s">
        <v>45</v>
      </c>
      <c r="G8" s="3" t="s">
        <v>74</v>
      </c>
      <c r="H8" s="2" t="s">
        <v>50</v>
      </c>
      <c r="I8" s="2" t="s">
        <v>70</v>
      </c>
      <c r="J8" s="2" t="s">
        <v>79</v>
      </c>
      <c r="K8" s="2" t="s">
        <v>50</v>
      </c>
      <c r="L8" s="2" t="s">
        <v>111</v>
      </c>
      <c r="M8" s="3" t="s">
        <v>50</v>
      </c>
      <c r="N8" s="2" t="s">
        <v>51</v>
      </c>
      <c r="O8" s="3">
        <v>0</v>
      </c>
      <c r="P8" s="3">
        <v>0</v>
      </c>
      <c r="Q8" s="3">
        <v>10</v>
      </c>
      <c r="R8" s="3">
        <v>0</v>
      </c>
      <c r="AM8" s="2" t="s">
        <v>51</v>
      </c>
      <c r="AN8" s="3" t="s">
        <v>122</v>
      </c>
      <c r="AO8" s="3" t="str">
        <f>IF(OR(AN8="subset",AN8 ="uncertain"),"N","Y")</f>
        <v>N</v>
      </c>
      <c r="AP8" s="3" t="s">
        <v>51</v>
      </c>
      <c r="AQ8" s="3" t="s">
        <v>51</v>
      </c>
      <c r="AR8" s="3" t="s">
        <v>51</v>
      </c>
      <c r="AS8" t="s">
        <v>128</v>
      </c>
      <c r="AT8" t="s">
        <v>131</v>
      </c>
      <c r="AU8">
        <v>10</v>
      </c>
      <c r="AV8">
        <f t="shared" si="15"/>
        <v>1</v>
      </c>
      <c r="AX8">
        <f t="shared" si="16"/>
        <v>0</v>
      </c>
      <c r="AY8">
        <f t="shared" si="17"/>
        <v>0</v>
      </c>
      <c r="AZ8">
        <f t="shared" si="18"/>
        <v>0</v>
      </c>
      <c r="BA8">
        <f t="shared" si="19"/>
        <v>0</v>
      </c>
      <c r="BB8">
        <f t="shared" si="0"/>
        <v>0</v>
      </c>
      <c r="BC8">
        <f t="shared" si="1"/>
        <v>0</v>
      </c>
      <c r="BD8">
        <f t="shared" si="2"/>
        <v>0</v>
      </c>
      <c r="BE8">
        <f t="shared" si="3"/>
        <v>0</v>
      </c>
      <c r="BF8">
        <f t="shared" si="4"/>
        <v>0</v>
      </c>
      <c r="BG8">
        <f t="shared" si="5"/>
        <v>0</v>
      </c>
      <c r="BH8">
        <f t="shared" si="6"/>
        <v>0</v>
      </c>
      <c r="BI8">
        <f t="shared" si="7"/>
        <v>0</v>
      </c>
      <c r="BJ8">
        <f t="shared" si="20"/>
        <v>1</v>
      </c>
      <c r="BK8">
        <f t="shared" si="21"/>
        <v>0</v>
      </c>
      <c r="BL8">
        <f t="shared" si="22"/>
        <v>10</v>
      </c>
      <c r="BM8">
        <f t="shared" si="23"/>
        <v>0</v>
      </c>
      <c r="BN8">
        <f t="shared" si="8"/>
        <v>0</v>
      </c>
      <c r="BO8">
        <f t="shared" si="9"/>
        <v>0</v>
      </c>
      <c r="BP8" t="e">
        <f t="shared" si="10"/>
        <v>#DIV/0!</v>
      </c>
      <c r="BQ8" t="e">
        <f t="shared" si="11"/>
        <v>#DIV/0!</v>
      </c>
      <c r="BR8" t="str">
        <f t="shared" si="12"/>
        <v>Yes</v>
      </c>
      <c r="BS8" t="str">
        <f t="shared" si="13"/>
        <v>No</v>
      </c>
      <c r="BT8" t="str">
        <f t="shared" si="24"/>
        <v>No</v>
      </c>
      <c r="BU8" s="3" t="s">
        <v>137</v>
      </c>
      <c r="BV8" t="s">
        <v>51</v>
      </c>
      <c r="BX8">
        <f t="shared" si="14"/>
        <v>0</v>
      </c>
      <c r="BY8">
        <f t="shared" si="25"/>
        <v>0</v>
      </c>
      <c r="BZ8">
        <f t="shared" si="26"/>
        <v>10</v>
      </c>
      <c r="CA8">
        <f t="shared" si="27"/>
        <v>0</v>
      </c>
      <c r="CB8" t="e">
        <f t="shared" si="28"/>
        <v>#DIV/0!</v>
      </c>
      <c r="CC8">
        <f t="shared" si="29"/>
        <v>0</v>
      </c>
      <c r="CD8">
        <f t="shared" si="30"/>
        <v>1</v>
      </c>
      <c r="CE8">
        <f t="shared" si="31"/>
        <v>0</v>
      </c>
      <c r="CF8">
        <f t="shared" si="32"/>
        <v>0</v>
      </c>
      <c r="CG8">
        <f t="shared" si="33"/>
        <v>10</v>
      </c>
      <c r="CH8">
        <f t="shared" si="34"/>
        <v>0</v>
      </c>
      <c r="CI8">
        <f t="shared" si="35"/>
        <v>0</v>
      </c>
      <c r="CJ8">
        <f t="shared" si="36"/>
        <v>0</v>
      </c>
      <c r="CK8">
        <f t="shared" si="37"/>
        <v>0</v>
      </c>
      <c r="CL8">
        <f t="shared" si="38"/>
        <v>0</v>
      </c>
      <c r="CM8">
        <f t="shared" si="39"/>
        <v>0</v>
      </c>
      <c r="CN8">
        <f t="shared" si="40"/>
        <v>0</v>
      </c>
      <c r="CO8">
        <f t="shared" si="41"/>
        <v>0</v>
      </c>
      <c r="CP8">
        <f t="shared" si="42"/>
        <v>0</v>
      </c>
      <c r="CQ8">
        <f t="shared" si="43"/>
        <v>0</v>
      </c>
      <c r="CR8">
        <f t="shared" si="44"/>
        <v>0</v>
      </c>
      <c r="CS8">
        <f t="shared" si="45"/>
        <v>10</v>
      </c>
      <c r="CT8">
        <f t="shared" si="46"/>
        <v>0</v>
      </c>
      <c r="CU8">
        <f t="shared" si="47"/>
        <v>10</v>
      </c>
      <c r="CV8">
        <f t="shared" si="48"/>
        <v>0</v>
      </c>
      <c r="CW8">
        <f t="shared" si="49"/>
        <v>0</v>
      </c>
      <c r="CX8">
        <f t="shared" si="50"/>
        <v>0</v>
      </c>
      <c r="CY8">
        <f t="shared" si="51"/>
        <v>0</v>
      </c>
      <c r="CZ8">
        <f t="shared" si="52"/>
        <v>0</v>
      </c>
      <c r="DA8">
        <f t="shared" si="53"/>
        <v>10</v>
      </c>
      <c r="DB8">
        <f t="shared" si="54"/>
        <v>0</v>
      </c>
      <c r="DC8">
        <f t="shared" si="55"/>
        <v>0</v>
      </c>
      <c r="DD8">
        <f t="shared" si="56"/>
        <v>0</v>
      </c>
      <c r="DE8">
        <f t="shared" si="57"/>
        <v>0</v>
      </c>
      <c r="DF8">
        <f t="shared" si="58"/>
        <v>0</v>
      </c>
      <c r="DG8">
        <f t="shared" si="59"/>
        <v>0</v>
      </c>
      <c r="DH8">
        <f t="shared" si="60"/>
        <v>0</v>
      </c>
      <c r="DI8">
        <f t="shared" si="61"/>
        <v>0</v>
      </c>
      <c r="DJ8">
        <f t="shared" si="62"/>
        <v>0</v>
      </c>
      <c r="DK8">
        <f t="shared" si="63"/>
        <v>0</v>
      </c>
      <c r="DL8">
        <f t="shared" si="64"/>
        <v>0</v>
      </c>
      <c r="DM8">
        <f t="shared" si="65"/>
        <v>10</v>
      </c>
      <c r="DN8">
        <f t="shared" si="66"/>
        <v>0</v>
      </c>
      <c r="DO8">
        <f t="shared" si="67"/>
        <v>0</v>
      </c>
      <c r="DP8">
        <f t="shared" si="68"/>
        <v>0</v>
      </c>
      <c r="DQ8" s="3"/>
      <c r="DR8" s="3"/>
      <c r="DS8" s="3"/>
      <c r="DT8" s="3" t="s">
        <v>290</v>
      </c>
    </row>
    <row r="9" spans="1:124" ht="409.5" x14ac:dyDescent="0.35">
      <c r="A9" s="4" t="s">
        <v>23</v>
      </c>
      <c r="B9" s="4">
        <v>2003</v>
      </c>
      <c r="C9" s="6" t="s">
        <v>172</v>
      </c>
      <c r="D9" s="3" t="s">
        <v>41</v>
      </c>
      <c r="E9" s="3" t="s">
        <v>41</v>
      </c>
      <c r="F9" s="4" t="s">
        <v>65</v>
      </c>
      <c r="G9" s="3" t="s">
        <v>73</v>
      </c>
      <c r="H9" s="4" t="s">
        <v>51</v>
      </c>
      <c r="I9" s="4" t="s">
        <v>70</v>
      </c>
      <c r="J9" s="4" t="s">
        <v>79</v>
      </c>
      <c r="K9" s="4" t="s">
        <v>50</v>
      </c>
      <c r="L9" s="2" t="s">
        <v>115</v>
      </c>
      <c r="M9" s="3" t="s">
        <v>51</v>
      </c>
      <c r="N9" s="4" t="s">
        <v>50</v>
      </c>
      <c r="O9" s="3">
        <v>0</v>
      </c>
      <c r="P9" s="3">
        <v>1</v>
      </c>
      <c r="Q9" s="3">
        <v>0</v>
      </c>
      <c r="R9" s="3">
        <v>0</v>
      </c>
      <c r="T9" s="3">
        <v>0</v>
      </c>
      <c r="W9" s="3">
        <v>0</v>
      </c>
      <c r="X9" s="3">
        <v>1</v>
      </c>
      <c r="Y9" s="3">
        <v>0</v>
      </c>
      <c r="Z9" s="3">
        <v>0</v>
      </c>
      <c r="AB9" s="3">
        <v>0</v>
      </c>
      <c r="AM9" s="4" t="s">
        <v>51</v>
      </c>
      <c r="AN9" s="3" t="s">
        <v>122</v>
      </c>
      <c r="AO9" s="3" t="s">
        <v>51</v>
      </c>
      <c r="AP9" s="3" t="s">
        <v>50</v>
      </c>
      <c r="AQ9" s="3" t="s">
        <v>51</v>
      </c>
      <c r="AS9" t="s">
        <v>128</v>
      </c>
      <c r="AT9" t="s">
        <v>132</v>
      </c>
      <c r="AU9">
        <v>5</v>
      </c>
      <c r="AV9">
        <f t="shared" si="15"/>
        <v>2</v>
      </c>
      <c r="AX9">
        <f t="shared" si="16"/>
        <v>0</v>
      </c>
      <c r="AY9">
        <f t="shared" si="17"/>
        <v>0</v>
      </c>
      <c r="AZ9">
        <f t="shared" si="18"/>
        <v>0</v>
      </c>
      <c r="BA9">
        <f t="shared" si="19"/>
        <v>0</v>
      </c>
      <c r="BB9">
        <f t="shared" si="0"/>
        <v>0</v>
      </c>
      <c r="BC9">
        <f t="shared" si="1"/>
        <v>0</v>
      </c>
      <c r="BD9">
        <f t="shared" si="2"/>
        <v>0</v>
      </c>
      <c r="BE9">
        <f t="shared" si="3"/>
        <v>0</v>
      </c>
      <c r="BF9">
        <f t="shared" si="4"/>
        <v>0</v>
      </c>
      <c r="BG9">
        <f t="shared" si="5"/>
        <v>0</v>
      </c>
      <c r="BH9">
        <f t="shared" si="6"/>
        <v>0</v>
      </c>
      <c r="BI9">
        <f t="shared" si="7"/>
        <v>0</v>
      </c>
      <c r="BJ9">
        <f t="shared" si="20"/>
        <v>1</v>
      </c>
      <c r="BK9">
        <f t="shared" si="21"/>
        <v>1</v>
      </c>
      <c r="BL9">
        <f t="shared" si="22"/>
        <v>1</v>
      </c>
      <c r="BM9">
        <f t="shared" si="23"/>
        <v>0</v>
      </c>
      <c r="BN9">
        <f t="shared" si="8"/>
        <v>0</v>
      </c>
      <c r="BO9">
        <f t="shared" si="9"/>
        <v>0</v>
      </c>
      <c r="BP9">
        <f t="shared" si="10"/>
        <v>0</v>
      </c>
      <c r="BQ9" t="e">
        <f t="shared" si="11"/>
        <v>#DIV/0!</v>
      </c>
      <c r="BR9" t="str">
        <f t="shared" si="12"/>
        <v>Yes</v>
      </c>
      <c r="BS9" t="str">
        <f t="shared" si="13"/>
        <v>Yes</v>
      </c>
      <c r="BT9" t="str">
        <f t="shared" si="24"/>
        <v>No</v>
      </c>
      <c r="BU9" s="3" t="s">
        <v>137</v>
      </c>
      <c r="BV9" t="s">
        <v>51</v>
      </c>
      <c r="BX9">
        <f t="shared" si="14"/>
        <v>2</v>
      </c>
      <c r="BY9">
        <f t="shared" si="25"/>
        <v>0</v>
      </c>
      <c r="BZ9">
        <f t="shared" si="26"/>
        <v>0</v>
      </c>
      <c r="CA9">
        <f t="shared" si="27"/>
        <v>0</v>
      </c>
      <c r="CB9">
        <f t="shared" si="28"/>
        <v>0</v>
      </c>
      <c r="CC9" t="e">
        <f t="shared" si="29"/>
        <v>#DIV/0!</v>
      </c>
      <c r="CD9">
        <f t="shared" si="30"/>
        <v>0</v>
      </c>
      <c r="CE9">
        <f t="shared" si="31"/>
        <v>1</v>
      </c>
      <c r="CF9">
        <f t="shared" si="32"/>
        <v>0</v>
      </c>
      <c r="CG9">
        <f t="shared" si="33"/>
        <v>0</v>
      </c>
      <c r="CH9">
        <f t="shared" si="34"/>
        <v>0</v>
      </c>
      <c r="CI9">
        <f t="shared" si="35"/>
        <v>1</v>
      </c>
      <c r="CJ9">
        <f t="shared" si="36"/>
        <v>0</v>
      </c>
      <c r="CK9">
        <f t="shared" si="37"/>
        <v>0</v>
      </c>
      <c r="CL9">
        <f t="shared" si="38"/>
        <v>0</v>
      </c>
      <c r="CM9">
        <f t="shared" si="39"/>
        <v>0</v>
      </c>
      <c r="CN9">
        <f t="shared" si="40"/>
        <v>0</v>
      </c>
      <c r="CO9">
        <f t="shared" si="41"/>
        <v>0</v>
      </c>
      <c r="CP9">
        <f t="shared" si="42"/>
        <v>0</v>
      </c>
      <c r="CQ9">
        <f t="shared" si="43"/>
        <v>1</v>
      </c>
      <c r="CR9">
        <f t="shared" si="44"/>
        <v>0</v>
      </c>
      <c r="CS9">
        <f t="shared" si="45"/>
        <v>0</v>
      </c>
      <c r="CT9">
        <f t="shared" si="46"/>
        <v>0</v>
      </c>
      <c r="CU9">
        <f t="shared" si="47"/>
        <v>1</v>
      </c>
      <c r="CV9">
        <f t="shared" si="48"/>
        <v>0</v>
      </c>
      <c r="CW9">
        <f t="shared" si="49"/>
        <v>1</v>
      </c>
      <c r="CX9">
        <f t="shared" si="50"/>
        <v>0</v>
      </c>
      <c r="CY9">
        <f t="shared" si="51"/>
        <v>0</v>
      </c>
      <c r="CZ9">
        <f t="shared" si="52"/>
        <v>0</v>
      </c>
      <c r="DA9">
        <f t="shared" si="53"/>
        <v>0</v>
      </c>
      <c r="DB9">
        <f t="shared" si="54"/>
        <v>0</v>
      </c>
      <c r="DC9">
        <f t="shared" si="55"/>
        <v>1</v>
      </c>
      <c r="DD9">
        <f t="shared" si="56"/>
        <v>0</v>
      </c>
      <c r="DE9">
        <f t="shared" si="57"/>
        <v>0</v>
      </c>
      <c r="DF9">
        <f t="shared" si="58"/>
        <v>0</v>
      </c>
      <c r="DG9">
        <f t="shared" si="59"/>
        <v>1</v>
      </c>
      <c r="DH9">
        <f t="shared" si="60"/>
        <v>0</v>
      </c>
      <c r="DI9">
        <f t="shared" si="61"/>
        <v>0</v>
      </c>
      <c r="DJ9">
        <f t="shared" si="62"/>
        <v>0</v>
      </c>
      <c r="DK9">
        <f t="shared" si="63"/>
        <v>0</v>
      </c>
      <c r="DL9">
        <f t="shared" si="64"/>
        <v>0</v>
      </c>
      <c r="DM9">
        <f t="shared" si="65"/>
        <v>0</v>
      </c>
      <c r="DN9">
        <f t="shared" si="66"/>
        <v>0</v>
      </c>
      <c r="DO9">
        <f t="shared" si="67"/>
        <v>1</v>
      </c>
      <c r="DP9">
        <f t="shared" si="68"/>
        <v>0</v>
      </c>
      <c r="DQ9" s="3" t="s">
        <v>291</v>
      </c>
      <c r="DR9" s="3" t="s">
        <v>297</v>
      </c>
      <c r="DS9" s="3" t="s">
        <v>291</v>
      </c>
      <c r="DT9" s="24" t="s">
        <v>298</v>
      </c>
    </row>
    <row r="10" spans="1:124" ht="409.5" x14ac:dyDescent="0.35">
      <c r="A10" s="2" t="s">
        <v>16</v>
      </c>
      <c r="B10" s="2">
        <v>1991</v>
      </c>
      <c r="C10" s="2" t="s">
        <v>173</v>
      </c>
      <c r="D10" s="3" t="s">
        <v>40</v>
      </c>
      <c r="E10" s="3" t="s">
        <v>41</v>
      </c>
      <c r="F10" s="2" t="s">
        <v>61</v>
      </c>
      <c r="G10" s="3" t="s">
        <v>72</v>
      </c>
      <c r="H10" s="2" t="s">
        <v>51</v>
      </c>
      <c r="I10" s="2" t="s">
        <v>70</v>
      </c>
      <c r="J10" s="2" t="s">
        <v>79</v>
      </c>
      <c r="K10" s="2" t="s">
        <v>50</v>
      </c>
      <c r="L10" s="2" t="s">
        <v>111</v>
      </c>
      <c r="M10" s="3" t="s">
        <v>50</v>
      </c>
      <c r="N10" s="2" t="s">
        <v>50</v>
      </c>
      <c r="W10" s="3">
        <v>0</v>
      </c>
      <c r="X10" s="3">
        <v>0</v>
      </c>
      <c r="Y10" s="3">
        <v>2</v>
      </c>
      <c r="Z10" s="3">
        <v>0</v>
      </c>
      <c r="AC10" s="3">
        <v>0</v>
      </c>
      <c r="AM10" s="2" t="s">
        <v>51</v>
      </c>
      <c r="AN10" s="3" t="s">
        <v>122</v>
      </c>
      <c r="AO10" s="3" t="str">
        <f t="shared" ref="AO10:AO33" si="69">IF(OR(AN10="subset",AN10 ="uncertain"),"N","Y")</f>
        <v>N</v>
      </c>
      <c r="AP10" s="3" t="s">
        <v>51</v>
      </c>
      <c r="AQ10" s="3" t="s">
        <v>51</v>
      </c>
      <c r="AR10" s="3" t="s">
        <v>51</v>
      </c>
      <c r="AS10" t="s">
        <v>128</v>
      </c>
      <c r="AT10" t="s">
        <v>131</v>
      </c>
      <c r="AU10">
        <v>6</v>
      </c>
      <c r="AV10">
        <f t="shared" si="15"/>
        <v>1</v>
      </c>
      <c r="AX10">
        <f t="shared" si="16"/>
        <v>0</v>
      </c>
      <c r="AY10">
        <f t="shared" si="17"/>
        <v>0</v>
      </c>
      <c r="AZ10">
        <f t="shared" si="18"/>
        <v>0</v>
      </c>
      <c r="BA10">
        <f t="shared" si="19"/>
        <v>0</v>
      </c>
      <c r="BB10">
        <f t="shared" si="0"/>
        <v>0</v>
      </c>
      <c r="BC10">
        <f t="shared" si="1"/>
        <v>0</v>
      </c>
      <c r="BD10">
        <f t="shared" si="2"/>
        <v>0</v>
      </c>
      <c r="BE10">
        <f t="shared" si="3"/>
        <v>0</v>
      </c>
      <c r="BF10">
        <f t="shared" si="4"/>
        <v>0</v>
      </c>
      <c r="BG10">
        <f t="shared" si="5"/>
        <v>0</v>
      </c>
      <c r="BH10">
        <f t="shared" si="6"/>
        <v>0</v>
      </c>
      <c r="BI10">
        <f t="shared" si="7"/>
        <v>0</v>
      </c>
      <c r="BJ10">
        <f t="shared" si="20"/>
        <v>1</v>
      </c>
      <c r="BK10">
        <f t="shared" si="21"/>
        <v>0</v>
      </c>
      <c r="BL10">
        <f t="shared" si="22"/>
        <v>2</v>
      </c>
      <c r="BM10">
        <f t="shared" si="23"/>
        <v>0</v>
      </c>
      <c r="BN10">
        <f t="shared" si="8"/>
        <v>0</v>
      </c>
      <c r="BO10" t="e">
        <f t="shared" si="9"/>
        <v>#DIV/0!</v>
      </c>
      <c r="BP10">
        <f t="shared" si="10"/>
        <v>0</v>
      </c>
      <c r="BQ10" t="e">
        <f t="shared" si="11"/>
        <v>#DIV/0!</v>
      </c>
      <c r="BR10" t="str">
        <f t="shared" si="12"/>
        <v>No</v>
      </c>
      <c r="BS10" t="str">
        <f t="shared" si="13"/>
        <v>Yes</v>
      </c>
      <c r="BT10" t="str">
        <f t="shared" si="24"/>
        <v>No</v>
      </c>
      <c r="BU10" s="3" t="s">
        <v>137</v>
      </c>
      <c r="BV10" t="s">
        <v>51</v>
      </c>
      <c r="BX10">
        <f t="shared" si="14"/>
        <v>0</v>
      </c>
      <c r="BY10">
        <f t="shared" si="25"/>
        <v>0</v>
      </c>
      <c r="BZ10">
        <f t="shared" si="26"/>
        <v>2</v>
      </c>
      <c r="CA10">
        <f t="shared" si="27"/>
        <v>0</v>
      </c>
      <c r="CB10" t="e">
        <f t="shared" si="28"/>
        <v>#DIV/0!</v>
      </c>
      <c r="CC10">
        <f t="shared" si="29"/>
        <v>0</v>
      </c>
      <c r="CD10">
        <f t="shared" si="30"/>
        <v>1</v>
      </c>
      <c r="CE10">
        <f t="shared" si="31"/>
        <v>0</v>
      </c>
      <c r="CF10">
        <f t="shared" si="32"/>
        <v>0</v>
      </c>
      <c r="CG10">
        <f t="shared" si="33"/>
        <v>0</v>
      </c>
      <c r="CH10">
        <f t="shared" si="34"/>
        <v>0</v>
      </c>
      <c r="CI10">
        <f t="shared" si="35"/>
        <v>0</v>
      </c>
      <c r="CJ10">
        <f t="shared" si="36"/>
        <v>0</v>
      </c>
      <c r="CK10">
        <f t="shared" si="37"/>
        <v>2</v>
      </c>
      <c r="CL10">
        <f t="shared" si="38"/>
        <v>0</v>
      </c>
      <c r="CM10">
        <f t="shared" si="39"/>
        <v>0</v>
      </c>
      <c r="CN10">
        <f t="shared" si="40"/>
        <v>0</v>
      </c>
      <c r="CO10">
        <f t="shared" si="41"/>
        <v>0</v>
      </c>
      <c r="CP10">
        <f t="shared" si="42"/>
        <v>0</v>
      </c>
      <c r="CQ10">
        <f t="shared" si="43"/>
        <v>0</v>
      </c>
      <c r="CR10">
        <f t="shared" si="44"/>
        <v>0</v>
      </c>
      <c r="CS10">
        <f t="shared" si="45"/>
        <v>2</v>
      </c>
      <c r="CT10">
        <f t="shared" si="46"/>
        <v>0</v>
      </c>
      <c r="CU10">
        <f t="shared" si="47"/>
        <v>0</v>
      </c>
      <c r="CV10">
        <f t="shared" si="48"/>
        <v>0</v>
      </c>
      <c r="CW10">
        <f t="shared" si="49"/>
        <v>2</v>
      </c>
      <c r="CX10">
        <f t="shared" si="50"/>
        <v>0</v>
      </c>
      <c r="CY10">
        <f t="shared" si="51"/>
        <v>0</v>
      </c>
      <c r="CZ10">
        <f t="shared" si="52"/>
        <v>0</v>
      </c>
      <c r="DA10">
        <f t="shared" si="53"/>
        <v>0</v>
      </c>
      <c r="DB10">
        <f t="shared" si="54"/>
        <v>0</v>
      </c>
      <c r="DC10">
        <f t="shared" si="55"/>
        <v>0</v>
      </c>
      <c r="DD10">
        <f t="shared" si="56"/>
        <v>0</v>
      </c>
      <c r="DE10">
        <f t="shared" si="57"/>
        <v>2</v>
      </c>
      <c r="DF10">
        <f t="shared" si="58"/>
        <v>0</v>
      </c>
      <c r="DG10">
        <f t="shared" si="59"/>
        <v>0</v>
      </c>
      <c r="DH10">
        <f t="shared" si="60"/>
        <v>0</v>
      </c>
      <c r="DI10">
        <f t="shared" si="61"/>
        <v>0</v>
      </c>
      <c r="DJ10">
        <f t="shared" si="62"/>
        <v>0</v>
      </c>
      <c r="DK10">
        <f t="shared" si="63"/>
        <v>0</v>
      </c>
      <c r="DL10">
        <f t="shared" si="64"/>
        <v>0</v>
      </c>
      <c r="DM10">
        <f t="shared" si="65"/>
        <v>2</v>
      </c>
      <c r="DN10">
        <f t="shared" si="66"/>
        <v>0</v>
      </c>
      <c r="DO10">
        <f t="shared" si="67"/>
        <v>0</v>
      </c>
      <c r="DP10">
        <f t="shared" si="68"/>
        <v>0</v>
      </c>
      <c r="DQ10" s="3" t="s">
        <v>291</v>
      </c>
      <c r="DR10" s="3" t="s">
        <v>299</v>
      </c>
      <c r="DS10" s="3" t="s">
        <v>291</v>
      </c>
      <c r="DT10" s="3" t="s">
        <v>300</v>
      </c>
    </row>
    <row r="11" spans="1:124" ht="43.5" x14ac:dyDescent="0.35">
      <c r="A11" s="2" t="s">
        <v>7</v>
      </c>
      <c r="B11" s="2">
        <v>1975</v>
      </c>
      <c r="C11" s="5" t="s">
        <v>35</v>
      </c>
      <c r="D11" s="3" t="s">
        <v>40</v>
      </c>
      <c r="E11" s="3" t="s">
        <v>41</v>
      </c>
      <c r="F11" s="2" t="s">
        <v>55</v>
      </c>
      <c r="G11" s="3" t="s">
        <v>73</v>
      </c>
      <c r="H11" s="2" t="s">
        <v>51</v>
      </c>
      <c r="I11" s="2" t="s">
        <v>77</v>
      </c>
      <c r="J11" s="2" t="s">
        <v>79</v>
      </c>
      <c r="K11" s="2" t="s">
        <v>50</v>
      </c>
      <c r="L11" s="2" t="s">
        <v>111</v>
      </c>
      <c r="M11" s="3" t="s">
        <v>50</v>
      </c>
      <c r="N11" s="2" t="s">
        <v>50</v>
      </c>
      <c r="W11" s="3">
        <v>0</v>
      </c>
      <c r="X11" s="3">
        <v>0</v>
      </c>
      <c r="Y11" s="3">
        <v>4</v>
      </c>
      <c r="Z11" s="3">
        <v>0</v>
      </c>
      <c r="AC11" s="3">
        <v>0.75</v>
      </c>
      <c r="AM11" s="2" t="s">
        <v>51</v>
      </c>
      <c r="AN11" s="3" t="s">
        <v>122</v>
      </c>
      <c r="AO11" s="3" t="str">
        <f t="shared" si="69"/>
        <v>N</v>
      </c>
      <c r="AP11" s="3" t="s">
        <v>51</v>
      </c>
      <c r="AQ11" s="3" t="s">
        <v>50</v>
      </c>
      <c r="AR11" s="3" t="s">
        <v>51</v>
      </c>
      <c r="AS11" t="s">
        <v>127</v>
      </c>
      <c r="AT11" t="s">
        <v>130</v>
      </c>
      <c r="AU11">
        <v>2</v>
      </c>
      <c r="AV11">
        <f t="shared" si="15"/>
        <v>2</v>
      </c>
      <c r="AX11">
        <f t="shared" si="16"/>
        <v>0</v>
      </c>
      <c r="AY11">
        <f t="shared" si="17"/>
        <v>0</v>
      </c>
      <c r="AZ11">
        <f t="shared" si="18"/>
        <v>0</v>
      </c>
      <c r="BA11">
        <f t="shared" si="19"/>
        <v>0</v>
      </c>
      <c r="BB11">
        <f t="shared" si="0"/>
        <v>0</v>
      </c>
      <c r="BC11">
        <f t="shared" si="1"/>
        <v>0</v>
      </c>
      <c r="BD11">
        <f t="shared" si="2"/>
        <v>3</v>
      </c>
      <c r="BE11">
        <f t="shared" si="3"/>
        <v>0</v>
      </c>
      <c r="BF11">
        <f t="shared" si="4"/>
        <v>0</v>
      </c>
      <c r="BG11">
        <f t="shared" si="5"/>
        <v>0</v>
      </c>
      <c r="BH11">
        <f t="shared" si="6"/>
        <v>0</v>
      </c>
      <c r="BI11">
        <f t="shared" si="7"/>
        <v>0</v>
      </c>
      <c r="BJ11">
        <f t="shared" si="20"/>
        <v>1</v>
      </c>
      <c r="BK11">
        <f t="shared" si="21"/>
        <v>1</v>
      </c>
      <c r="BL11">
        <f t="shared" si="22"/>
        <v>4</v>
      </c>
      <c r="BM11">
        <f t="shared" si="23"/>
        <v>3</v>
      </c>
      <c r="BN11">
        <f t="shared" si="8"/>
        <v>0.75</v>
      </c>
      <c r="BO11" t="e">
        <f t="shared" si="9"/>
        <v>#DIV/0!</v>
      </c>
      <c r="BP11">
        <f t="shared" si="10"/>
        <v>0.75</v>
      </c>
      <c r="BQ11" t="e">
        <f t="shared" si="11"/>
        <v>#DIV/0!</v>
      </c>
      <c r="BR11" t="str">
        <f t="shared" si="12"/>
        <v>No</v>
      </c>
      <c r="BS11" t="str">
        <f t="shared" si="13"/>
        <v>Yes</v>
      </c>
      <c r="BT11" t="str">
        <f t="shared" si="24"/>
        <v>No</v>
      </c>
      <c r="BU11" s="3" t="s">
        <v>139</v>
      </c>
      <c r="BV11" t="s">
        <v>51</v>
      </c>
      <c r="BX11">
        <f t="shared" si="14"/>
        <v>0</v>
      </c>
      <c r="BY11">
        <f t="shared" si="25"/>
        <v>0</v>
      </c>
      <c r="BZ11">
        <f t="shared" si="26"/>
        <v>4</v>
      </c>
      <c r="CA11">
        <f t="shared" si="27"/>
        <v>3</v>
      </c>
      <c r="CB11" t="e">
        <f t="shared" si="28"/>
        <v>#DIV/0!</v>
      </c>
      <c r="CC11">
        <f t="shared" si="29"/>
        <v>0.75</v>
      </c>
      <c r="CD11">
        <f t="shared" si="30"/>
        <v>1</v>
      </c>
      <c r="CE11">
        <f t="shared" si="31"/>
        <v>0</v>
      </c>
      <c r="CF11">
        <f t="shared" si="32"/>
        <v>0</v>
      </c>
      <c r="CG11">
        <f t="shared" si="33"/>
        <v>0</v>
      </c>
      <c r="CH11">
        <f t="shared" si="34"/>
        <v>0</v>
      </c>
      <c r="CI11">
        <f t="shared" si="35"/>
        <v>0</v>
      </c>
      <c r="CJ11">
        <f t="shared" si="36"/>
        <v>0</v>
      </c>
      <c r="CK11">
        <f t="shared" si="37"/>
        <v>4</v>
      </c>
      <c r="CL11">
        <f t="shared" si="38"/>
        <v>3</v>
      </c>
      <c r="CM11">
        <f t="shared" si="39"/>
        <v>0</v>
      </c>
      <c r="CN11">
        <f t="shared" si="40"/>
        <v>0</v>
      </c>
      <c r="CO11">
        <f t="shared" si="41"/>
        <v>0</v>
      </c>
      <c r="CP11">
        <f t="shared" si="42"/>
        <v>0</v>
      </c>
      <c r="CQ11">
        <f t="shared" si="43"/>
        <v>0</v>
      </c>
      <c r="CR11">
        <f t="shared" si="44"/>
        <v>0</v>
      </c>
      <c r="CS11">
        <f t="shared" si="45"/>
        <v>4</v>
      </c>
      <c r="CT11">
        <f t="shared" si="46"/>
        <v>3</v>
      </c>
      <c r="CU11">
        <f t="shared" si="47"/>
        <v>0</v>
      </c>
      <c r="CV11">
        <f t="shared" si="48"/>
        <v>0</v>
      </c>
      <c r="CW11">
        <f t="shared" si="49"/>
        <v>4</v>
      </c>
      <c r="CX11">
        <f t="shared" si="50"/>
        <v>3</v>
      </c>
      <c r="CY11">
        <f t="shared" si="51"/>
        <v>0</v>
      </c>
      <c r="CZ11">
        <f t="shared" si="52"/>
        <v>0</v>
      </c>
      <c r="DA11">
        <f t="shared" si="53"/>
        <v>0</v>
      </c>
      <c r="DB11">
        <f t="shared" si="54"/>
        <v>0</v>
      </c>
      <c r="DC11">
        <f t="shared" si="55"/>
        <v>0</v>
      </c>
      <c r="DD11">
        <f t="shared" si="56"/>
        <v>0</v>
      </c>
      <c r="DE11">
        <f t="shared" si="57"/>
        <v>4</v>
      </c>
      <c r="DF11">
        <f t="shared" si="58"/>
        <v>3</v>
      </c>
      <c r="DG11">
        <f t="shared" si="59"/>
        <v>0</v>
      </c>
      <c r="DH11">
        <f t="shared" si="60"/>
        <v>0</v>
      </c>
      <c r="DI11">
        <f t="shared" si="61"/>
        <v>0</v>
      </c>
      <c r="DJ11">
        <f t="shared" si="62"/>
        <v>0</v>
      </c>
      <c r="DK11">
        <f t="shared" si="63"/>
        <v>0</v>
      </c>
      <c r="DL11">
        <f t="shared" si="64"/>
        <v>0</v>
      </c>
      <c r="DM11">
        <f t="shared" si="65"/>
        <v>4</v>
      </c>
      <c r="DN11">
        <f t="shared" si="66"/>
        <v>3</v>
      </c>
      <c r="DO11">
        <f t="shared" si="67"/>
        <v>0</v>
      </c>
      <c r="DP11">
        <f t="shared" si="68"/>
        <v>0</v>
      </c>
      <c r="DQ11" s="3" t="s">
        <v>290</v>
      </c>
      <c r="DR11" s="3"/>
      <c r="DS11" s="3" t="s">
        <v>290</v>
      </c>
      <c r="DT11" s="3"/>
    </row>
    <row r="12" spans="1:124" ht="409.5" x14ac:dyDescent="0.35">
      <c r="A12" s="2" t="s">
        <v>116</v>
      </c>
      <c r="B12" s="2">
        <v>2019</v>
      </c>
      <c r="C12" s="2" t="s">
        <v>172</v>
      </c>
      <c r="D12" s="3" t="s">
        <v>44</v>
      </c>
      <c r="E12" s="3" t="s">
        <v>44</v>
      </c>
      <c r="F12" s="2" t="s">
        <v>117</v>
      </c>
      <c r="G12" s="3" t="s">
        <v>73</v>
      </c>
      <c r="H12" s="2" t="s">
        <v>51</v>
      </c>
      <c r="I12" s="2" t="s">
        <v>70</v>
      </c>
      <c r="J12" s="2" t="s">
        <v>79</v>
      </c>
      <c r="K12" s="2" t="s">
        <v>50</v>
      </c>
      <c r="L12" s="2" t="s">
        <v>111</v>
      </c>
      <c r="M12" s="3" t="s">
        <v>50</v>
      </c>
      <c r="N12" s="2" t="s">
        <v>51</v>
      </c>
      <c r="AM12" s="2" t="s">
        <v>50</v>
      </c>
      <c r="AN12" s="3" t="s">
        <v>122</v>
      </c>
      <c r="AO12" s="3" t="str">
        <f t="shared" si="69"/>
        <v>N</v>
      </c>
      <c r="AP12" s="3" t="s">
        <v>50</v>
      </c>
      <c r="AQ12" s="3" t="s">
        <v>50</v>
      </c>
      <c r="AR12" s="3" t="s">
        <v>51</v>
      </c>
      <c r="AS12" t="s">
        <v>128</v>
      </c>
      <c r="AT12" t="s">
        <v>132</v>
      </c>
      <c r="AU12">
        <v>19</v>
      </c>
      <c r="AV12">
        <f t="shared" si="15"/>
        <v>4</v>
      </c>
      <c r="AX12">
        <f t="shared" si="16"/>
        <v>0</v>
      </c>
      <c r="AY12">
        <f t="shared" si="17"/>
        <v>0</v>
      </c>
      <c r="AZ12">
        <f t="shared" si="18"/>
        <v>0</v>
      </c>
      <c r="BA12">
        <f t="shared" si="19"/>
        <v>0</v>
      </c>
      <c r="BB12">
        <f t="shared" si="0"/>
        <v>0</v>
      </c>
      <c r="BC12">
        <f t="shared" si="1"/>
        <v>0</v>
      </c>
      <c r="BD12">
        <f t="shared" si="2"/>
        <v>0</v>
      </c>
      <c r="BE12">
        <f t="shared" si="3"/>
        <v>0</v>
      </c>
      <c r="BF12">
        <f t="shared" si="4"/>
        <v>0</v>
      </c>
      <c r="BG12">
        <f t="shared" si="5"/>
        <v>0</v>
      </c>
      <c r="BH12">
        <f t="shared" si="6"/>
        <v>0</v>
      </c>
      <c r="BI12">
        <f t="shared" si="7"/>
        <v>0</v>
      </c>
      <c r="BJ12">
        <f t="shared" si="20"/>
        <v>2</v>
      </c>
      <c r="BK12">
        <f t="shared" si="21"/>
        <v>2</v>
      </c>
      <c r="BL12">
        <f t="shared" si="22"/>
        <v>0</v>
      </c>
      <c r="BM12">
        <f t="shared" si="23"/>
        <v>0</v>
      </c>
      <c r="BN12" t="e">
        <f t="shared" si="8"/>
        <v>#DIV/0!</v>
      </c>
      <c r="BO12" t="e">
        <f t="shared" si="9"/>
        <v>#DIV/0!</v>
      </c>
      <c r="BP12" t="e">
        <f t="shared" si="10"/>
        <v>#DIV/0!</v>
      </c>
      <c r="BQ12" t="e">
        <f t="shared" si="11"/>
        <v>#DIV/0!</v>
      </c>
      <c r="BR12" t="str">
        <f t="shared" si="12"/>
        <v>Yes</v>
      </c>
      <c r="BS12" t="str">
        <f t="shared" si="13"/>
        <v>Yes</v>
      </c>
      <c r="BT12" t="str">
        <f t="shared" si="24"/>
        <v>Yes</v>
      </c>
      <c r="BU12" s="3" t="s">
        <v>137</v>
      </c>
      <c r="BV12" t="s">
        <v>51</v>
      </c>
      <c r="BX12">
        <f t="shared" si="14"/>
        <v>0</v>
      </c>
      <c r="BY12">
        <f t="shared" si="25"/>
        <v>0</v>
      </c>
      <c r="BZ12">
        <f t="shared" si="26"/>
        <v>0</v>
      </c>
      <c r="CA12">
        <f t="shared" si="27"/>
        <v>0</v>
      </c>
      <c r="CB12" t="e">
        <f t="shared" si="28"/>
        <v>#DIV/0!</v>
      </c>
      <c r="CC12" t="e">
        <f t="shared" si="29"/>
        <v>#DIV/0!</v>
      </c>
      <c r="CD12" t="e">
        <f t="shared" si="30"/>
        <v>#DIV/0!</v>
      </c>
      <c r="CE12">
        <f t="shared" si="31"/>
        <v>0</v>
      </c>
      <c r="CF12">
        <f t="shared" si="32"/>
        <v>0</v>
      </c>
      <c r="CG12">
        <f t="shared" si="33"/>
        <v>0</v>
      </c>
      <c r="CH12">
        <f t="shared" si="34"/>
        <v>0</v>
      </c>
      <c r="CI12">
        <f t="shared" si="35"/>
        <v>0</v>
      </c>
      <c r="CJ12">
        <f t="shared" si="36"/>
        <v>0</v>
      </c>
      <c r="CK12">
        <f t="shared" si="37"/>
        <v>0</v>
      </c>
      <c r="CL12">
        <f t="shared" si="38"/>
        <v>0</v>
      </c>
      <c r="CM12">
        <f t="shared" si="39"/>
        <v>0</v>
      </c>
      <c r="CN12">
        <f t="shared" si="40"/>
        <v>0</v>
      </c>
      <c r="CO12">
        <f t="shared" si="41"/>
        <v>0</v>
      </c>
      <c r="CP12">
        <f t="shared" si="42"/>
        <v>0</v>
      </c>
      <c r="CQ12">
        <f t="shared" si="43"/>
        <v>0</v>
      </c>
      <c r="CR12">
        <f t="shared" si="44"/>
        <v>0</v>
      </c>
      <c r="CS12">
        <f t="shared" si="45"/>
        <v>0</v>
      </c>
      <c r="CT12">
        <f t="shared" si="46"/>
        <v>0</v>
      </c>
      <c r="CU12">
        <f t="shared" si="47"/>
        <v>0</v>
      </c>
      <c r="CV12">
        <f t="shared" si="48"/>
        <v>0</v>
      </c>
      <c r="CW12">
        <f t="shared" si="49"/>
        <v>0</v>
      </c>
      <c r="CX12">
        <f t="shared" si="50"/>
        <v>0</v>
      </c>
      <c r="CY12">
        <f t="shared" si="51"/>
        <v>0</v>
      </c>
      <c r="CZ12">
        <f t="shared" si="52"/>
        <v>0</v>
      </c>
      <c r="DA12">
        <f t="shared" si="53"/>
        <v>0</v>
      </c>
      <c r="DB12">
        <f t="shared" si="54"/>
        <v>0</v>
      </c>
      <c r="DC12">
        <f t="shared" si="55"/>
        <v>0</v>
      </c>
      <c r="DD12">
        <f t="shared" si="56"/>
        <v>0</v>
      </c>
      <c r="DE12">
        <f t="shared" si="57"/>
        <v>0</v>
      </c>
      <c r="DF12">
        <f t="shared" si="58"/>
        <v>0</v>
      </c>
      <c r="DG12">
        <f t="shared" si="59"/>
        <v>0</v>
      </c>
      <c r="DH12">
        <f t="shared" si="60"/>
        <v>0</v>
      </c>
      <c r="DI12">
        <f t="shared" si="61"/>
        <v>0</v>
      </c>
      <c r="DJ12">
        <f t="shared" si="62"/>
        <v>0</v>
      </c>
      <c r="DK12">
        <f t="shared" si="63"/>
        <v>0</v>
      </c>
      <c r="DL12">
        <f t="shared" si="64"/>
        <v>0</v>
      </c>
      <c r="DM12">
        <f t="shared" si="65"/>
        <v>0</v>
      </c>
      <c r="DN12">
        <f t="shared" si="66"/>
        <v>0</v>
      </c>
      <c r="DO12">
        <f t="shared" si="67"/>
        <v>0</v>
      </c>
      <c r="DP12">
        <f t="shared" si="68"/>
        <v>0</v>
      </c>
      <c r="DQ12" s="3" t="s">
        <v>291</v>
      </c>
      <c r="DR12" s="3" t="s">
        <v>301</v>
      </c>
      <c r="DS12" s="3" t="s">
        <v>291</v>
      </c>
      <c r="DT12" s="3" t="s">
        <v>302</v>
      </c>
    </row>
    <row r="13" spans="1:124" ht="58" x14ac:dyDescent="0.35">
      <c r="A13" s="2" t="s">
        <v>25</v>
      </c>
      <c r="B13" s="2">
        <v>2009</v>
      </c>
      <c r="C13" s="2" t="s">
        <v>173</v>
      </c>
      <c r="D13" s="3" t="s">
        <v>41</v>
      </c>
      <c r="E13" s="3" t="s">
        <v>41</v>
      </c>
      <c r="F13" s="2" t="s">
        <v>45</v>
      </c>
      <c r="G13" s="3" t="s">
        <v>74</v>
      </c>
      <c r="H13" s="2" t="s">
        <v>50</v>
      </c>
      <c r="I13" s="2" t="s">
        <v>77</v>
      </c>
      <c r="J13" s="2" t="s">
        <v>79</v>
      </c>
      <c r="K13" s="2" t="s">
        <v>51</v>
      </c>
      <c r="L13" s="2" t="s">
        <v>115</v>
      </c>
      <c r="M13" s="3" t="s">
        <v>50</v>
      </c>
      <c r="N13" s="2" t="s">
        <v>51</v>
      </c>
      <c r="O13" s="3">
        <v>0</v>
      </c>
      <c r="P13" s="3">
        <v>1</v>
      </c>
      <c r="Q13" s="3">
        <v>0</v>
      </c>
      <c r="R13" s="3">
        <v>0</v>
      </c>
      <c r="T13" s="3">
        <v>1</v>
      </c>
      <c r="W13" s="3">
        <v>0</v>
      </c>
      <c r="X13" s="3">
        <v>1</v>
      </c>
      <c r="Y13" s="3">
        <v>0</v>
      </c>
      <c r="Z13" s="3">
        <v>0</v>
      </c>
      <c r="AB13" s="3">
        <v>0</v>
      </c>
      <c r="AM13" s="2" t="s">
        <v>50</v>
      </c>
      <c r="AN13" s="3" t="s">
        <v>122</v>
      </c>
      <c r="AO13" s="3" t="str">
        <f t="shared" si="69"/>
        <v>N</v>
      </c>
      <c r="AP13" s="3" t="s">
        <v>51</v>
      </c>
      <c r="AQ13" s="3" t="s">
        <v>50</v>
      </c>
      <c r="AR13" s="3" t="s">
        <v>51</v>
      </c>
      <c r="AS13" t="s">
        <v>128</v>
      </c>
      <c r="AT13" t="s">
        <v>132</v>
      </c>
      <c r="AU13">
        <v>3</v>
      </c>
      <c r="AV13">
        <f t="shared" si="15"/>
        <v>2</v>
      </c>
      <c r="AX13">
        <f t="shared" si="16"/>
        <v>0</v>
      </c>
      <c r="AY13">
        <f t="shared" si="17"/>
        <v>1</v>
      </c>
      <c r="AZ13">
        <f t="shared" si="18"/>
        <v>0</v>
      </c>
      <c r="BA13">
        <f t="shared" si="19"/>
        <v>0</v>
      </c>
      <c r="BB13">
        <f t="shared" si="0"/>
        <v>0</v>
      </c>
      <c r="BC13">
        <f t="shared" si="1"/>
        <v>0</v>
      </c>
      <c r="BD13">
        <f t="shared" si="2"/>
        <v>0</v>
      </c>
      <c r="BE13">
        <f t="shared" si="3"/>
        <v>0</v>
      </c>
      <c r="BF13">
        <f t="shared" si="4"/>
        <v>0</v>
      </c>
      <c r="BG13">
        <f t="shared" si="5"/>
        <v>0</v>
      </c>
      <c r="BH13">
        <f t="shared" si="6"/>
        <v>0</v>
      </c>
      <c r="BI13">
        <f t="shared" si="7"/>
        <v>0</v>
      </c>
      <c r="BJ13">
        <f t="shared" si="20"/>
        <v>1</v>
      </c>
      <c r="BK13">
        <f t="shared" si="21"/>
        <v>1</v>
      </c>
      <c r="BL13">
        <f t="shared" si="22"/>
        <v>1</v>
      </c>
      <c r="BM13">
        <f t="shared" si="23"/>
        <v>1</v>
      </c>
      <c r="BN13">
        <f t="shared" si="8"/>
        <v>1</v>
      </c>
      <c r="BO13">
        <f t="shared" si="9"/>
        <v>1</v>
      </c>
      <c r="BP13">
        <f t="shared" si="10"/>
        <v>0</v>
      </c>
      <c r="BQ13" t="e">
        <f t="shared" si="11"/>
        <v>#DIV/0!</v>
      </c>
      <c r="BR13" t="str">
        <f t="shared" si="12"/>
        <v>Yes</v>
      </c>
      <c r="BS13" t="str">
        <f t="shared" si="13"/>
        <v>Yes</v>
      </c>
      <c r="BT13" t="str">
        <f t="shared" si="24"/>
        <v>No</v>
      </c>
      <c r="BU13" s="3" t="s">
        <v>137</v>
      </c>
      <c r="BV13" t="s">
        <v>50</v>
      </c>
      <c r="BW13" t="s">
        <v>147</v>
      </c>
      <c r="BX13">
        <f t="shared" si="14"/>
        <v>2</v>
      </c>
      <c r="BY13">
        <f t="shared" si="25"/>
        <v>1</v>
      </c>
      <c r="BZ13">
        <f t="shared" si="26"/>
        <v>0</v>
      </c>
      <c r="CA13">
        <f t="shared" si="27"/>
        <v>0</v>
      </c>
      <c r="CB13">
        <f t="shared" si="28"/>
        <v>0.5</v>
      </c>
      <c r="CC13" t="e">
        <f t="shared" si="29"/>
        <v>#DIV/0!</v>
      </c>
      <c r="CD13">
        <f t="shared" si="30"/>
        <v>0</v>
      </c>
      <c r="CE13">
        <f t="shared" si="31"/>
        <v>1</v>
      </c>
      <c r="CF13">
        <f t="shared" si="32"/>
        <v>1</v>
      </c>
      <c r="CG13">
        <f t="shared" si="33"/>
        <v>0</v>
      </c>
      <c r="CH13">
        <f t="shared" si="34"/>
        <v>0</v>
      </c>
      <c r="CI13">
        <f t="shared" si="35"/>
        <v>1</v>
      </c>
      <c r="CJ13">
        <f t="shared" si="36"/>
        <v>0</v>
      </c>
      <c r="CK13">
        <f t="shared" si="37"/>
        <v>0</v>
      </c>
      <c r="CL13">
        <f t="shared" si="38"/>
        <v>0</v>
      </c>
      <c r="CM13">
        <f t="shared" si="39"/>
        <v>0</v>
      </c>
      <c r="CN13">
        <f t="shared" si="40"/>
        <v>0</v>
      </c>
      <c r="CO13">
        <f t="shared" si="41"/>
        <v>0</v>
      </c>
      <c r="CP13">
        <f t="shared" si="42"/>
        <v>0</v>
      </c>
      <c r="CQ13">
        <f t="shared" si="43"/>
        <v>1</v>
      </c>
      <c r="CR13">
        <f t="shared" si="44"/>
        <v>1</v>
      </c>
      <c r="CS13">
        <f t="shared" si="45"/>
        <v>0</v>
      </c>
      <c r="CT13">
        <f t="shared" si="46"/>
        <v>0</v>
      </c>
      <c r="CU13">
        <f t="shared" si="47"/>
        <v>1</v>
      </c>
      <c r="CV13">
        <f t="shared" si="48"/>
        <v>1</v>
      </c>
      <c r="CW13">
        <f t="shared" si="49"/>
        <v>1</v>
      </c>
      <c r="CX13">
        <f t="shared" si="50"/>
        <v>0</v>
      </c>
      <c r="CY13">
        <f t="shared" si="51"/>
        <v>0</v>
      </c>
      <c r="CZ13">
        <f t="shared" si="52"/>
        <v>0</v>
      </c>
      <c r="DA13">
        <f t="shared" si="53"/>
        <v>0</v>
      </c>
      <c r="DB13">
        <f t="shared" si="54"/>
        <v>0</v>
      </c>
      <c r="DC13">
        <f t="shared" si="55"/>
        <v>1</v>
      </c>
      <c r="DD13">
        <f t="shared" si="56"/>
        <v>1</v>
      </c>
      <c r="DE13">
        <f t="shared" si="57"/>
        <v>0</v>
      </c>
      <c r="DF13">
        <f t="shared" si="58"/>
        <v>0</v>
      </c>
      <c r="DG13">
        <f t="shared" si="59"/>
        <v>1</v>
      </c>
      <c r="DH13">
        <f t="shared" si="60"/>
        <v>0</v>
      </c>
      <c r="DI13">
        <f t="shared" si="61"/>
        <v>0</v>
      </c>
      <c r="DJ13">
        <f t="shared" si="62"/>
        <v>0</v>
      </c>
      <c r="DK13">
        <f t="shared" si="63"/>
        <v>0</v>
      </c>
      <c r="DL13">
        <f t="shared" si="64"/>
        <v>0</v>
      </c>
      <c r="DM13">
        <f t="shared" si="65"/>
        <v>0</v>
      </c>
      <c r="DN13">
        <f t="shared" si="66"/>
        <v>0</v>
      </c>
      <c r="DO13">
        <f t="shared" si="67"/>
        <v>1</v>
      </c>
      <c r="DP13">
        <f t="shared" si="68"/>
        <v>1</v>
      </c>
      <c r="DQ13" s="3" t="s">
        <v>287</v>
      </c>
      <c r="DR13" s="3" t="s">
        <v>303</v>
      </c>
      <c r="DS13" s="3" t="s">
        <v>290</v>
      </c>
    </row>
    <row r="14" spans="1:124" ht="72.5" x14ac:dyDescent="0.35">
      <c r="A14" s="2" t="s">
        <v>9</v>
      </c>
      <c r="B14" s="2">
        <v>1979</v>
      </c>
      <c r="C14" s="5" t="s">
        <v>35</v>
      </c>
      <c r="D14" s="3" t="s">
        <v>41</v>
      </c>
      <c r="E14" s="3" t="s">
        <v>41</v>
      </c>
      <c r="F14" s="2" t="s">
        <v>58</v>
      </c>
      <c r="G14" s="3" t="s">
        <v>72</v>
      </c>
      <c r="H14" s="2" t="s">
        <v>51</v>
      </c>
      <c r="I14" s="2" t="s">
        <v>77</v>
      </c>
      <c r="J14" s="2" t="s">
        <v>79</v>
      </c>
      <c r="K14" s="2" t="s">
        <v>51</v>
      </c>
      <c r="L14" s="2" t="s">
        <v>110</v>
      </c>
      <c r="M14" s="3" t="s">
        <v>51</v>
      </c>
      <c r="N14" s="2" t="s">
        <v>50</v>
      </c>
      <c r="O14" s="3">
        <v>2</v>
      </c>
      <c r="P14" s="3">
        <v>1</v>
      </c>
      <c r="Q14" s="3">
        <v>0</v>
      </c>
      <c r="R14" s="3">
        <v>0</v>
      </c>
      <c r="S14" s="3">
        <v>1</v>
      </c>
      <c r="T14" s="3">
        <v>1</v>
      </c>
      <c r="W14" s="3">
        <v>2</v>
      </c>
      <c r="X14" s="3">
        <v>1</v>
      </c>
      <c r="Y14" s="3">
        <v>0</v>
      </c>
      <c r="Z14" s="3">
        <v>0</v>
      </c>
      <c r="AA14" s="3">
        <v>1</v>
      </c>
      <c r="AB14" s="3">
        <v>1</v>
      </c>
      <c r="AM14" s="2" t="s">
        <v>51</v>
      </c>
      <c r="AN14" s="3" t="s">
        <v>122</v>
      </c>
      <c r="AO14" s="3" t="str">
        <f t="shared" si="69"/>
        <v>N</v>
      </c>
      <c r="AP14" s="3" t="s">
        <v>51</v>
      </c>
      <c r="AQ14" s="3" t="s">
        <v>50</v>
      </c>
      <c r="AR14" s="3" t="s">
        <v>51</v>
      </c>
      <c r="AS14" t="s">
        <v>127</v>
      </c>
      <c r="AT14" t="s">
        <v>130</v>
      </c>
      <c r="AU14">
        <v>4</v>
      </c>
      <c r="AV14">
        <f t="shared" si="15"/>
        <v>1</v>
      </c>
      <c r="AX14">
        <f t="shared" si="16"/>
        <v>2</v>
      </c>
      <c r="AY14">
        <f t="shared" si="17"/>
        <v>1</v>
      </c>
      <c r="AZ14">
        <f t="shared" si="18"/>
        <v>0</v>
      </c>
      <c r="BA14">
        <f t="shared" si="19"/>
        <v>0</v>
      </c>
      <c r="BB14">
        <f t="shared" si="0"/>
        <v>2</v>
      </c>
      <c r="BC14">
        <f t="shared" si="1"/>
        <v>1</v>
      </c>
      <c r="BD14">
        <f t="shared" si="2"/>
        <v>0</v>
      </c>
      <c r="BE14">
        <f t="shared" si="3"/>
        <v>0</v>
      </c>
      <c r="BF14">
        <f t="shared" si="4"/>
        <v>0</v>
      </c>
      <c r="BG14">
        <f t="shared" si="5"/>
        <v>0</v>
      </c>
      <c r="BH14">
        <f t="shared" si="6"/>
        <v>0</v>
      </c>
      <c r="BI14">
        <f t="shared" si="7"/>
        <v>0</v>
      </c>
      <c r="BJ14">
        <f t="shared" si="20"/>
        <v>0</v>
      </c>
      <c r="BK14">
        <f t="shared" si="21"/>
        <v>1</v>
      </c>
      <c r="BL14">
        <f t="shared" si="22"/>
        <v>3</v>
      </c>
      <c r="BM14">
        <f t="shared" si="23"/>
        <v>3</v>
      </c>
      <c r="BN14">
        <f t="shared" si="8"/>
        <v>1</v>
      </c>
      <c r="BO14">
        <f t="shared" si="9"/>
        <v>1</v>
      </c>
      <c r="BP14">
        <f t="shared" si="10"/>
        <v>1</v>
      </c>
      <c r="BQ14" t="e">
        <f t="shared" si="11"/>
        <v>#DIV/0!</v>
      </c>
      <c r="BR14" t="str">
        <f t="shared" si="12"/>
        <v>Yes</v>
      </c>
      <c r="BS14" t="str">
        <f t="shared" si="13"/>
        <v>Yes</v>
      </c>
      <c r="BT14" t="str">
        <f t="shared" si="24"/>
        <v>No</v>
      </c>
      <c r="BU14" s="3" t="s">
        <v>36</v>
      </c>
      <c r="BV14" t="s">
        <v>51</v>
      </c>
      <c r="BX14">
        <f t="shared" si="14"/>
        <v>6</v>
      </c>
      <c r="BY14">
        <f t="shared" si="25"/>
        <v>6</v>
      </c>
      <c r="BZ14">
        <f t="shared" si="26"/>
        <v>0</v>
      </c>
      <c r="CA14">
        <f t="shared" si="27"/>
        <v>0</v>
      </c>
      <c r="CB14">
        <f t="shared" si="28"/>
        <v>1</v>
      </c>
      <c r="CC14" t="e">
        <f t="shared" si="29"/>
        <v>#DIV/0!</v>
      </c>
      <c r="CD14">
        <f t="shared" si="30"/>
        <v>0</v>
      </c>
      <c r="CE14">
        <f t="shared" si="31"/>
        <v>3</v>
      </c>
      <c r="CF14">
        <f t="shared" si="32"/>
        <v>3</v>
      </c>
      <c r="CG14">
        <f t="shared" si="33"/>
        <v>0</v>
      </c>
      <c r="CH14">
        <f t="shared" si="34"/>
        <v>0</v>
      </c>
      <c r="CI14">
        <f t="shared" si="35"/>
        <v>3</v>
      </c>
      <c r="CJ14">
        <f t="shared" si="36"/>
        <v>3</v>
      </c>
      <c r="CK14">
        <f t="shared" si="37"/>
        <v>0</v>
      </c>
      <c r="CL14">
        <f t="shared" si="38"/>
        <v>0</v>
      </c>
      <c r="CM14">
        <f t="shared" si="39"/>
        <v>0</v>
      </c>
      <c r="CN14">
        <f t="shared" si="40"/>
        <v>0</v>
      </c>
      <c r="CO14">
        <f t="shared" si="41"/>
        <v>0</v>
      </c>
      <c r="CP14">
        <f t="shared" si="42"/>
        <v>0</v>
      </c>
      <c r="CQ14">
        <f t="shared" si="43"/>
        <v>3</v>
      </c>
      <c r="CR14">
        <f t="shared" si="44"/>
        <v>3</v>
      </c>
      <c r="CS14">
        <f t="shared" si="45"/>
        <v>0</v>
      </c>
      <c r="CT14">
        <f t="shared" si="46"/>
        <v>0</v>
      </c>
      <c r="CU14">
        <f t="shared" si="47"/>
        <v>3</v>
      </c>
      <c r="CV14">
        <f t="shared" si="48"/>
        <v>3</v>
      </c>
      <c r="CW14">
        <f t="shared" si="49"/>
        <v>3</v>
      </c>
      <c r="CX14">
        <f t="shared" si="50"/>
        <v>3</v>
      </c>
      <c r="CY14">
        <f t="shared" si="51"/>
        <v>0</v>
      </c>
      <c r="CZ14">
        <f t="shared" si="52"/>
        <v>0</v>
      </c>
      <c r="DA14">
        <f t="shared" si="53"/>
        <v>2</v>
      </c>
      <c r="DB14">
        <f t="shared" si="54"/>
        <v>2</v>
      </c>
      <c r="DC14">
        <f t="shared" si="55"/>
        <v>1</v>
      </c>
      <c r="DD14">
        <f t="shared" si="56"/>
        <v>1</v>
      </c>
      <c r="DE14">
        <f t="shared" si="57"/>
        <v>2</v>
      </c>
      <c r="DF14">
        <f t="shared" si="58"/>
        <v>2</v>
      </c>
      <c r="DG14">
        <f t="shared" si="59"/>
        <v>1</v>
      </c>
      <c r="DH14">
        <f t="shared" si="60"/>
        <v>1</v>
      </c>
      <c r="DI14">
        <f t="shared" si="61"/>
        <v>0</v>
      </c>
      <c r="DJ14">
        <f t="shared" si="62"/>
        <v>0</v>
      </c>
      <c r="DK14">
        <f t="shared" si="63"/>
        <v>0</v>
      </c>
      <c r="DL14">
        <f t="shared" si="64"/>
        <v>0</v>
      </c>
      <c r="DM14">
        <f t="shared" si="65"/>
        <v>2</v>
      </c>
      <c r="DN14">
        <f t="shared" si="66"/>
        <v>2</v>
      </c>
      <c r="DO14">
        <f t="shared" si="67"/>
        <v>1</v>
      </c>
      <c r="DP14">
        <f t="shared" si="68"/>
        <v>1</v>
      </c>
      <c r="DQ14" s="3" t="s">
        <v>290</v>
      </c>
      <c r="DR14" s="3"/>
      <c r="DS14" s="3" t="s">
        <v>290</v>
      </c>
      <c r="DT14" s="3"/>
    </row>
    <row r="15" spans="1:124" ht="29" x14ac:dyDescent="0.35">
      <c r="A15" s="2" t="s">
        <v>2</v>
      </c>
      <c r="B15" s="2">
        <v>1954</v>
      </c>
      <c r="C15" s="5" t="s">
        <v>35</v>
      </c>
      <c r="D15" s="3" t="s">
        <v>38</v>
      </c>
      <c r="E15" s="3" t="s">
        <v>41</v>
      </c>
      <c r="F15" s="2" t="s">
        <v>53</v>
      </c>
      <c r="G15" s="3" t="s">
        <v>72</v>
      </c>
      <c r="H15" s="2" t="s">
        <v>51</v>
      </c>
      <c r="I15" s="2" t="s">
        <v>77</v>
      </c>
      <c r="J15" s="2" t="s">
        <v>79</v>
      </c>
      <c r="K15" s="2" t="s">
        <v>50</v>
      </c>
      <c r="L15" s="2" t="s">
        <v>111</v>
      </c>
      <c r="M15" s="3" t="s">
        <v>51</v>
      </c>
      <c r="N15" s="2" t="s">
        <v>50</v>
      </c>
      <c r="O15" s="2">
        <v>8</v>
      </c>
      <c r="P15" s="2">
        <v>0</v>
      </c>
      <c r="Q15" s="23">
        <v>17</v>
      </c>
      <c r="R15" s="23">
        <v>0</v>
      </c>
      <c r="S15" s="3">
        <v>0.875</v>
      </c>
      <c r="U15" s="3">
        <v>0.88235300000000005</v>
      </c>
      <c r="AM15" s="2" t="s">
        <v>51</v>
      </c>
      <c r="AN15" s="3" t="s">
        <v>120</v>
      </c>
      <c r="AO15" s="3" t="str">
        <f t="shared" si="69"/>
        <v>N</v>
      </c>
      <c r="AP15" s="3" t="s">
        <v>51</v>
      </c>
      <c r="AQ15" s="3" t="s">
        <v>51</v>
      </c>
      <c r="AR15" s="3" t="s">
        <v>51</v>
      </c>
      <c r="AS15" t="s">
        <v>127</v>
      </c>
      <c r="AT15" t="s">
        <v>130</v>
      </c>
      <c r="AU15">
        <v>0</v>
      </c>
      <c r="AV15">
        <f t="shared" si="15"/>
        <v>1</v>
      </c>
      <c r="AX15">
        <f t="shared" si="16"/>
        <v>7</v>
      </c>
      <c r="AY15">
        <f t="shared" si="17"/>
        <v>0</v>
      </c>
      <c r="AZ15">
        <f t="shared" si="18"/>
        <v>15.000001000000001</v>
      </c>
      <c r="BA15">
        <f t="shared" si="19"/>
        <v>0</v>
      </c>
      <c r="BB15">
        <f t="shared" si="0"/>
        <v>0</v>
      </c>
      <c r="BC15">
        <f t="shared" si="1"/>
        <v>0</v>
      </c>
      <c r="BD15">
        <f t="shared" si="2"/>
        <v>0</v>
      </c>
      <c r="BE15">
        <f t="shared" si="3"/>
        <v>0</v>
      </c>
      <c r="BF15">
        <f t="shared" si="4"/>
        <v>0</v>
      </c>
      <c r="BG15">
        <f t="shared" si="5"/>
        <v>0</v>
      </c>
      <c r="BH15">
        <f t="shared" si="6"/>
        <v>0</v>
      </c>
      <c r="BI15">
        <f t="shared" si="7"/>
        <v>0</v>
      </c>
      <c r="BJ15">
        <f t="shared" si="20"/>
        <v>1</v>
      </c>
      <c r="BK15">
        <f t="shared" si="21"/>
        <v>0</v>
      </c>
      <c r="BL15">
        <f t="shared" si="22"/>
        <v>25</v>
      </c>
      <c r="BM15">
        <f t="shared" si="23"/>
        <v>22</v>
      </c>
      <c r="BN15">
        <f t="shared" si="8"/>
        <v>0.88</v>
      </c>
      <c r="BO15">
        <f t="shared" si="9"/>
        <v>0.88000004000000009</v>
      </c>
      <c r="BP15" t="e">
        <f t="shared" si="10"/>
        <v>#DIV/0!</v>
      </c>
      <c r="BQ15" t="e">
        <f t="shared" si="11"/>
        <v>#DIV/0!</v>
      </c>
      <c r="BR15" t="str">
        <f t="shared" si="12"/>
        <v>Yes</v>
      </c>
      <c r="BS15" t="str">
        <f t="shared" si="13"/>
        <v>No</v>
      </c>
      <c r="BT15" t="str">
        <f t="shared" si="24"/>
        <v>No</v>
      </c>
      <c r="BU15" s="3" t="s">
        <v>36</v>
      </c>
      <c r="BV15" t="s">
        <v>51</v>
      </c>
      <c r="BX15">
        <f t="shared" si="14"/>
        <v>8</v>
      </c>
      <c r="BY15">
        <f t="shared" si="25"/>
        <v>7</v>
      </c>
      <c r="BZ15">
        <f t="shared" si="26"/>
        <v>17</v>
      </c>
      <c r="CA15">
        <f t="shared" si="27"/>
        <v>15.000001000000001</v>
      </c>
      <c r="CB15">
        <f t="shared" si="28"/>
        <v>0.875</v>
      </c>
      <c r="CC15">
        <f t="shared" si="29"/>
        <v>0.88235300000000005</v>
      </c>
      <c r="CD15">
        <f t="shared" si="30"/>
        <v>0.68</v>
      </c>
      <c r="CE15">
        <f t="shared" si="31"/>
        <v>8</v>
      </c>
      <c r="CF15">
        <f t="shared" si="32"/>
        <v>7</v>
      </c>
      <c r="CG15">
        <f t="shared" si="33"/>
        <v>17</v>
      </c>
      <c r="CH15">
        <f t="shared" si="34"/>
        <v>15.000001000000001</v>
      </c>
      <c r="CI15">
        <f t="shared" si="35"/>
        <v>0</v>
      </c>
      <c r="CJ15">
        <f t="shared" si="36"/>
        <v>0</v>
      </c>
      <c r="CK15">
        <f t="shared" si="37"/>
        <v>0</v>
      </c>
      <c r="CL15">
        <f t="shared" si="38"/>
        <v>0</v>
      </c>
      <c r="CM15">
        <f t="shared" si="39"/>
        <v>0</v>
      </c>
      <c r="CN15">
        <f t="shared" si="40"/>
        <v>0</v>
      </c>
      <c r="CO15">
        <f t="shared" si="41"/>
        <v>0</v>
      </c>
      <c r="CP15">
        <f t="shared" si="42"/>
        <v>0</v>
      </c>
      <c r="CQ15">
        <f t="shared" si="43"/>
        <v>8</v>
      </c>
      <c r="CR15">
        <f t="shared" si="44"/>
        <v>7</v>
      </c>
      <c r="CS15">
        <f t="shared" si="45"/>
        <v>17</v>
      </c>
      <c r="CT15">
        <f t="shared" si="46"/>
        <v>15</v>
      </c>
      <c r="CU15">
        <f t="shared" si="47"/>
        <v>25</v>
      </c>
      <c r="CV15">
        <f t="shared" si="48"/>
        <v>22</v>
      </c>
      <c r="CW15">
        <f t="shared" si="49"/>
        <v>0</v>
      </c>
      <c r="CX15">
        <f t="shared" si="50"/>
        <v>0</v>
      </c>
      <c r="CY15">
        <f t="shared" si="51"/>
        <v>0</v>
      </c>
      <c r="CZ15">
        <f t="shared" si="52"/>
        <v>0</v>
      </c>
      <c r="DA15">
        <f t="shared" si="53"/>
        <v>25</v>
      </c>
      <c r="DB15">
        <f t="shared" si="54"/>
        <v>22</v>
      </c>
      <c r="DC15">
        <f t="shared" si="55"/>
        <v>0</v>
      </c>
      <c r="DD15">
        <f t="shared" si="56"/>
        <v>0</v>
      </c>
      <c r="DE15">
        <f t="shared" si="57"/>
        <v>0</v>
      </c>
      <c r="DF15">
        <f t="shared" si="58"/>
        <v>0</v>
      </c>
      <c r="DG15">
        <f t="shared" si="59"/>
        <v>0</v>
      </c>
      <c r="DH15">
        <f t="shared" si="60"/>
        <v>0</v>
      </c>
      <c r="DI15">
        <f t="shared" si="61"/>
        <v>0</v>
      </c>
      <c r="DJ15">
        <f t="shared" si="62"/>
        <v>0</v>
      </c>
      <c r="DK15">
        <f t="shared" si="63"/>
        <v>0</v>
      </c>
      <c r="DL15">
        <f t="shared" si="64"/>
        <v>0</v>
      </c>
      <c r="DM15">
        <f t="shared" si="65"/>
        <v>25</v>
      </c>
      <c r="DN15">
        <f t="shared" si="66"/>
        <v>22</v>
      </c>
      <c r="DO15">
        <f t="shared" si="67"/>
        <v>0</v>
      </c>
      <c r="DP15">
        <f t="shared" si="68"/>
        <v>0</v>
      </c>
      <c r="DQ15" s="3"/>
      <c r="DR15" s="3"/>
      <c r="DS15" s="3"/>
      <c r="DT15" s="3"/>
    </row>
    <row r="16" spans="1:124" ht="43.5" x14ac:dyDescent="0.35">
      <c r="A16" s="2" t="s">
        <v>15</v>
      </c>
      <c r="B16" s="2">
        <v>1990</v>
      </c>
      <c r="C16" s="2" t="s">
        <v>173</v>
      </c>
      <c r="D16" s="3" t="s">
        <v>41</v>
      </c>
      <c r="E16" s="3" t="s">
        <v>41</v>
      </c>
      <c r="F16" s="2" t="s">
        <v>61</v>
      </c>
      <c r="G16" s="3" t="s">
        <v>72</v>
      </c>
      <c r="H16" s="2" t="s">
        <v>51</v>
      </c>
      <c r="I16" s="2" t="s">
        <v>70</v>
      </c>
      <c r="J16" s="2" t="s">
        <v>79</v>
      </c>
      <c r="K16" s="2" t="s">
        <v>51</v>
      </c>
      <c r="L16" s="2" t="s">
        <v>111</v>
      </c>
      <c r="M16" s="3" t="s">
        <v>50</v>
      </c>
      <c r="N16" s="2" t="s">
        <v>50</v>
      </c>
      <c r="O16" s="3">
        <v>0</v>
      </c>
      <c r="P16" s="3">
        <v>0</v>
      </c>
      <c r="Q16" s="3">
        <v>1</v>
      </c>
      <c r="R16" s="3">
        <v>0</v>
      </c>
      <c r="U16" s="3">
        <v>1</v>
      </c>
      <c r="W16" s="3">
        <v>0</v>
      </c>
      <c r="X16" s="3">
        <v>0</v>
      </c>
      <c r="Y16" s="3">
        <v>1</v>
      </c>
      <c r="Z16" s="3">
        <v>0</v>
      </c>
      <c r="AC16" s="3">
        <v>1</v>
      </c>
      <c r="AM16" s="2" t="s">
        <v>51</v>
      </c>
      <c r="AN16" s="3" t="s">
        <v>120</v>
      </c>
      <c r="AO16" s="3" t="str">
        <f t="shared" si="69"/>
        <v>N</v>
      </c>
      <c r="AP16" s="3" t="s">
        <v>51</v>
      </c>
      <c r="AQ16" s="3" t="s">
        <v>51</v>
      </c>
      <c r="AR16" s="3" t="s">
        <v>51</v>
      </c>
      <c r="AS16" t="s">
        <v>128</v>
      </c>
      <c r="AT16" t="s">
        <v>131</v>
      </c>
      <c r="AU16">
        <v>4</v>
      </c>
      <c r="AV16">
        <f t="shared" si="15"/>
        <v>0</v>
      </c>
      <c r="AX16">
        <f t="shared" si="16"/>
        <v>0</v>
      </c>
      <c r="AY16">
        <f t="shared" si="17"/>
        <v>0</v>
      </c>
      <c r="AZ16">
        <f t="shared" si="18"/>
        <v>1</v>
      </c>
      <c r="BA16">
        <f t="shared" si="19"/>
        <v>0</v>
      </c>
      <c r="BB16">
        <f t="shared" si="0"/>
        <v>0</v>
      </c>
      <c r="BC16">
        <f t="shared" si="1"/>
        <v>0</v>
      </c>
      <c r="BD16">
        <f t="shared" si="2"/>
        <v>1</v>
      </c>
      <c r="BE16">
        <f t="shared" si="3"/>
        <v>0</v>
      </c>
      <c r="BF16">
        <f t="shared" si="4"/>
        <v>0</v>
      </c>
      <c r="BG16">
        <f t="shared" si="5"/>
        <v>0</v>
      </c>
      <c r="BH16">
        <f t="shared" si="6"/>
        <v>0</v>
      </c>
      <c r="BI16">
        <f t="shared" si="7"/>
        <v>0</v>
      </c>
      <c r="BJ16">
        <f t="shared" si="20"/>
        <v>0</v>
      </c>
      <c r="BK16">
        <f t="shared" si="21"/>
        <v>0</v>
      </c>
      <c r="BL16">
        <f t="shared" si="22"/>
        <v>1</v>
      </c>
      <c r="BM16">
        <f t="shared" si="23"/>
        <v>1</v>
      </c>
      <c r="BN16">
        <f t="shared" si="8"/>
        <v>1</v>
      </c>
      <c r="BO16">
        <f t="shared" si="9"/>
        <v>1</v>
      </c>
      <c r="BP16">
        <f t="shared" si="10"/>
        <v>1</v>
      </c>
      <c r="BQ16" t="e">
        <f t="shared" si="11"/>
        <v>#DIV/0!</v>
      </c>
      <c r="BR16" t="str">
        <f t="shared" si="12"/>
        <v>Yes</v>
      </c>
      <c r="BS16" t="str">
        <f t="shared" si="13"/>
        <v>Yes</v>
      </c>
      <c r="BT16" t="str">
        <f t="shared" si="24"/>
        <v>No</v>
      </c>
      <c r="BU16" s="3" t="s">
        <v>36</v>
      </c>
      <c r="BV16" t="s">
        <v>51</v>
      </c>
      <c r="BX16">
        <f t="shared" si="14"/>
        <v>0</v>
      </c>
      <c r="BY16">
        <f t="shared" si="25"/>
        <v>0</v>
      </c>
      <c r="BZ16">
        <f t="shared" si="26"/>
        <v>2</v>
      </c>
      <c r="CA16">
        <f t="shared" si="27"/>
        <v>2</v>
      </c>
      <c r="CB16" t="e">
        <f t="shared" si="28"/>
        <v>#DIV/0!</v>
      </c>
      <c r="CC16">
        <f t="shared" si="29"/>
        <v>1</v>
      </c>
      <c r="CD16">
        <f t="shared" si="30"/>
        <v>1</v>
      </c>
      <c r="CE16">
        <f t="shared" si="31"/>
        <v>0</v>
      </c>
      <c r="CF16">
        <f t="shared" si="32"/>
        <v>0</v>
      </c>
      <c r="CG16">
        <f t="shared" si="33"/>
        <v>1</v>
      </c>
      <c r="CH16">
        <f t="shared" si="34"/>
        <v>1</v>
      </c>
      <c r="CI16">
        <f t="shared" si="35"/>
        <v>0</v>
      </c>
      <c r="CJ16">
        <f t="shared" si="36"/>
        <v>0</v>
      </c>
      <c r="CK16">
        <f t="shared" si="37"/>
        <v>1</v>
      </c>
      <c r="CL16">
        <f t="shared" si="38"/>
        <v>1</v>
      </c>
      <c r="CM16">
        <f t="shared" si="39"/>
        <v>0</v>
      </c>
      <c r="CN16">
        <f t="shared" si="40"/>
        <v>0</v>
      </c>
      <c r="CO16">
        <f t="shared" si="41"/>
        <v>0</v>
      </c>
      <c r="CP16">
        <f t="shared" si="42"/>
        <v>0</v>
      </c>
      <c r="CQ16">
        <f t="shared" si="43"/>
        <v>0</v>
      </c>
      <c r="CR16">
        <f t="shared" si="44"/>
        <v>0</v>
      </c>
      <c r="CS16">
        <f t="shared" si="45"/>
        <v>1</v>
      </c>
      <c r="CT16">
        <f t="shared" si="46"/>
        <v>1</v>
      </c>
      <c r="CU16">
        <f t="shared" si="47"/>
        <v>1</v>
      </c>
      <c r="CV16">
        <f t="shared" si="48"/>
        <v>1</v>
      </c>
      <c r="CW16">
        <f t="shared" si="49"/>
        <v>1</v>
      </c>
      <c r="CX16">
        <f t="shared" si="50"/>
        <v>1</v>
      </c>
      <c r="CY16">
        <f t="shared" si="51"/>
        <v>0</v>
      </c>
      <c r="CZ16">
        <f t="shared" si="52"/>
        <v>0</v>
      </c>
      <c r="DA16">
        <f t="shared" si="53"/>
        <v>1</v>
      </c>
      <c r="DB16">
        <f t="shared" si="54"/>
        <v>1</v>
      </c>
      <c r="DC16">
        <f t="shared" si="55"/>
        <v>0</v>
      </c>
      <c r="DD16">
        <f t="shared" si="56"/>
        <v>0</v>
      </c>
      <c r="DE16">
        <f t="shared" si="57"/>
        <v>1</v>
      </c>
      <c r="DF16">
        <f t="shared" si="58"/>
        <v>1</v>
      </c>
      <c r="DG16">
        <f t="shared" si="59"/>
        <v>0</v>
      </c>
      <c r="DH16">
        <f t="shared" si="60"/>
        <v>0</v>
      </c>
      <c r="DI16">
        <f t="shared" si="61"/>
        <v>0</v>
      </c>
      <c r="DJ16">
        <f t="shared" si="62"/>
        <v>0</v>
      </c>
      <c r="DK16">
        <f t="shared" si="63"/>
        <v>0</v>
      </c>
      <c r="DL16">
        <f t="shared" si="64"/>
        <v>0</v>
      </c>
      <c r="DM16">
        <f t="shared" si="65"/>
        <v>1</v>
      </c>
      <c r="DN16">
        <f t="shared" si="66"/>
        <v>1</v>
      </c>
      <c r="DO16">
        <f t="shared" si="67"/>
        <v>0</v>
      </c>
      <c r="DP16">
        <f t="shared" si="68"/>
        <v>0</v>
      </c>
      <c r="DQ16" s="3" t="s">
        <v>291</v>
      </c>
      <c r="DR16" s="3" t="s">
        <v>299</v>
      </c>
      <c r="DS16" s="3" t="s">
        <v>290</v>
      </c>
      <c r="DT16" s="3"/>
    </row>
    <row r="17" spans="1:124" ht="87" x14ac:dyDescent="0.35">
      <c r="A17" s="2" t="s">
        <v>21</v>
      </c>
      <c r="B17" s="2">
        <v>2001</v>
      </c>
      <c r="C17" s="5" t="s">
        <v>172</v>
      </c>
      <c r="D17" s="3" t="s">
        <v>41</v>
      </c>
      <c r="E17" s="3" t="s">
        <v>41</v>
      </c>
      <c r="F17" s="2" t="s">
        <v>64</v>
      </c>
      <c r="G17" s="3" t="s">
        <v>72</v>
      </c>
      <c r="H17" s="2" t="s">
        <v>51</v>
      </c>
      <c r="I17" s="2" t="s">
        <v>70</v>
      </c>
      <c r="J17" s="2" t="s">
        <v>79</v>
      </c>
      <c r="K17" s="2" t="s">
        <v>51</v>
      </c>
      <c r="L17" s="2" t="s">
        <v>111</v>
      </c>
      <c r="M17" s="3" t="s">
        <v>51</v>
      </c>
      <c r="N17" s="2" t="s">
        <v>50</v>
      </c>
      <c r="O17" s="3">
        <v>0</v>
      </c>
      <c r="P17" s="3">
        <v>0</v>
      </c>
      <c r="Q17" s="3">
        <v>1</v>
      </c>
      <c r="R17" s="3">
        <v>0</v>
      </c>
      <c r="U17" s="3">
        <v>0</v>
      </c>
      <c r="W17" s="3">
        <v>0</v>
      </c>
      <c r="X17" s="3">
        <v>0</v>
      </c>
      <c r="Y17" s="3">
        <v>1</v>
      </c>
      <c r="Z17" s="3">
        <v>0</v>
      </c>
      <c r="AC17" s="3">
        <v>0</v>
      </c>
      <c r="AM17" s="2" t="s">
        <v>51</v>
      </c>
      <c r="AN17" s="3" t="s">
        <v>122</v>
      </c>
      <c r="AO17" s="3" t="str">
        <f t="shared" si="69"/>
        <v>N</v>
      </c>
      <c r="AP17" s="3" t="s">
        <v>51</v>
      </c>
      <c r="AQ17" s="3" t="s">
        <v>51</v>
      </c>
      <c r="AR17" s="3" t="s">
        <v>51</v>
      </c>
      <c r="AS17" t="s">
        <v>128</v>
      </c>
      <c r="AT17" t="s">
        <v>132</v>
      </c>
      <c r="AU17">
        <v>4</v>
      </c>
      <c r="AV17">
        <f t="shared" si="15"/>
        <v>0</v>
      </c>
      <c r="AX17">
        <f t="shared" si="16"/>
        <v>0</v>
      </c>
      <c r="AY17">
        <f t="shared" si="17"/>
        <v>0</v>
      </c>
      <c r="AZ17">
        <f t="shared" si="18"/>
        <v>0</v>
      </c>
      <c r="BA17">
        <f t="shared" si="19"/>
        <v>0</v>
      </c>
      <c r="BB17">
        <f t="shared" si="0"/>
        <v>0</v>
      </c>
      <c r="BC17">
        <f t="shared" si="1"/>
        <v>0</v>
      </c>
      <c r="BD17">
        <f t="shared" si="2"/>
        <v>0</v>
      </c>
      <c r="BE17">
        <f t="shared" si="3"/>
        <v>0</v>
      </c>
      <c r="BF17">
        <f t="shared" si="4"/>
        <v>0</v>
      </c>
      <c r="BG17">
        <f t="shared" si="5"/>
        <v>0</v>
      </c>
      <c r="BH17">
        <f t="shared" si="6"/>
        <v>0</v>
      </c>
      <c r="BI17">
        <f t="shared" si="7"/>
        <v>0</v>
      </c>
      <c r="BJ17">
        <f t="shared" si="20"/>
        <v>0</v>
      </c>
      <c r="BK17">
        <f t="shared" si="21"/>
        <v>0</v>
      </c>
      <c r="BL17">
        <f t="shared" si="22"/>
        <v>1</v>
      </c>
      <c r="BM17">
        <f t="shared" si="23"/>
        <v>0</v>
      </c>
      <c r="BN17">
        <f t="shared" si="8"/>
        <v>0</v>
      </c>
      <c r="BO17">
        <f t="shared" si="9"/>
        <v>0</v>
      </c>
      <c r="BP17">
        <f t="shared" si="10"/>
        <v>0</v>
      </c>
      <c r="BQ17" t="e">
        <f t="shared" si="11"/>
        <v>#DIV/0!</v>
      </c>
      <c r="BR17" t="str">
        <f t="shared" si="12"/>
        <v>Yes</v>
      </c>
      <c r="BS17" t="str">
        <f t="shared" si="13"/>
        <v>Yes</v>
      </c>
      <c r="BT17" t="str">
        <f t="shared" si="24"/>
        <v>No</v>
      </c>
      <c r="BU17" s="3" t="s">
        <v>36</v>
      </c>
      <c r="BV17" t="s">
        <v>51</v>
      </c>
      <c r="BX17">
        <f t="shared" si="14"/>
        <v>0</v>
      </c>
      <c r="BY17">
        <f t="shared" si="25"/>
        <v>0</v>
      </c>
      <c r="BZ17">
        <f t="shared" si="26"/>
        <v>2</v>
      </c>
      <c r="CA17">
        <f t="shared" si="27"/>
        <v>0</v>
      </c>
      <c r="CB17" t="e">
        <f t="shared" si="28"/>
        <v>#DIV/0!</v>
      </c>
      <c r="CC17">
        <f t="shared" si="29"/>
        <v>0</v>
      </c>
      <c r="CD17">
        <f t="shared" si="30"/>
        <v>1</v>
      </c>
      <c r="CE17">
        <f t="shared" si="31"/>
        <v>0</v>
      </c>
      <c r="CF17">
        <f t="shared" si="32"/>
        <v>0</v>
      </c>
      <c r="CG17">
        <f t="shared" si="33"/>
        <v>1</v>
      </c>
      <c r="CH17">
        <f t="shared" si="34"/>
        <v>0</v>
      </c>
      <c r="CI17">
        <f t="shared" si="35"/>
        <v>0</v>
      </c>
      <c r="CJ17">
        <f t="shared" si="36"/>
        <v>0</v>
      </c>
      <c r="CK17">
        <f t="shared" si="37"/>
        <v>1</v>
      </c>
      <c r="CL17">
        <f t="shared" si="38"/>
        <v>0</v>
      </c>
      <c r="CM17">
        <f t="shared" si="39"/>
        <v>0</v>
      </c>
      <c r="CN17">
        <f t="shared" si="40"/>
        <v>0</v>
      </c>
      <c r="CO17">
        <f t="shared" si="41"/>
        <v>0</v>
      </c>
      <c r="CP17">
        <f t="shared" si="42"/>
        <v>0</v>
      </c>
      <c r="CQ17">
        <f t="shared" si="43"/>
        <v>0</v>
      </c>
      <c r="CR17">
        <f t="shared" si="44"/>
        <v>0</v>
      </c>
      <c r="CS17">
        <f t="shared" si="45"/>
        <v>1</v>
      </c>
      <c r="CT17">
        <f t="shared" si="46"/>
        <v>0</v>
      </c>
      <c r="CU17">
        <f t="shared" si="47"/>
        <v>1</v>
      </c>
      <c r="CV17">
        <f t="shared" si="48"/>
        <v>0</v>
      </c>
      <c r="CW17">
        <f t="shared" si="49"/>
        <v>1</v>
      </c>
      <c r="CX17">
        <f t="shared" si="50"/>
        <v>0</v>
      </c>
      <c r="CY17">
        <f t="shared" si="51"/>
        <v>0</v>
      </c>
      <c r="CZ17">
        <f t="shared" si="52"/>
        <v>0</v>
      </c>
      <c r="DA17">
        <f t="shared" si="53"/>
        <v>1</v>
      </c>
      <c r="DB17">
        <f t="shared" si="54"/>
        <v>0</v>
      </c>
      <c r="DC17">
        <f t="shared" si="55"/>
        <v>0</v>
      </c>
      <c r="DD17">
        <f t="shared" si="56"/>
        <v>0</v>
      </c>
      <c r="DE17">
        <f t="shared" si="57"/>
        <v>1</v>
      </c>
      <c r="DF17">
        <f t="shared" si="58"/>
        <v>0</v>
      </c>
      <c r="DG17">
        <f t="shared" si="59"/>
        <v>0</v>
      </c>
      <c r="DH17">
        <f t="shared" si="60"/>
        <v>0</v>
      </c>
      <c r="DI17">
        <f t="shared" si="61"/>
        <v>0</v>
      </c>
      <c r="DJ17">
        <f t="shared" si="62"/>
        <v>0</v>
      </c>
      <c r="DK17">
        <f t="shared" si="63"/>
        <v>0</v>
      </c>
      <c r="DL17">
        <f t="shared" si="64"/>
        <v>0</v>
      </c>
      <c r="DM17">
        <f t="shared" si="65"/>
        <v>1</v>
      </c>
      <c r="DN17">
        <f t="shared" si="66"/>
        <v>0</v>
      </c>
      <c r="DO17">
        <f t="shared" si="67"/>
        <v>0</v>
      </c>
      <c r="DP17">
        <f t="shared" si="68"/>
        <v>0</v>
      </c>
      <c r="DQ17" s="3" t="s">
        <v>291</v>
      </c>
      <c r="DR17" s="3" t="s">
        <v>299</v>
      </c>
      <c r="DS17" s="3" t="s">
        <v>290</v>
      </c>
      <c r="DT17" s="3"/>
    </row>
    <row r="18" spans="1:124" ht="43.5" x14ac:dyDescent="0.35">
      <c r="A18" s="2" t="s">
        <v>19</v>
      </c>
      <c r="B18" s="2">
        <v>1998</v>
      </c>
      <c r="C18" s="2" t="s">
        <v>173</v>
      </c>
      <c r="D18" s="3" t="s">
        <v>41</v>
      </c>
      <c r="E18" s="3" t="s">
        <v>41</v>
      </c>
      <c r="F18" s="2" t="s">
        <v>62</v>
      </c>
      <c r="G18" s="3" t="s">
        <v>72</v>
      </c>
      <c r="H18" s="2" t="s">
        <v>51</v>
      </c>
      <c r="I18" s="2" t="s">
        <v>70</v>
      </c>
      <c r="J18" s="2" t="s">
        <v>79</v>
      </c>
      <c r="K18" s="2" t="s">
        <v>51</v>
      </c>
      <c r="L18" s="2" t="s">
        <v>113</v>
      </c>
      <c r="M18" s="3" t="s">
        <v>50</v>
      </c>
      <c r="N18" s="2" t="s">
        <v>50</v>
      </c>
      <c r="O18" s="3">
        <v>2</v>
      </c>
      <c r="P18" s="3">
        <v>0</v>
      </c>
      <c r="Q18" s="3">
        <v>1</v>
      </c>
      <c r="R18" s="3">
        <v>0</v>
      </c>
      <c r="S18" s="3">
        <v>0</v>
      </c>
      <c r="U18" s="3">
        <v>0</v>
      </c>
      <c r="W18" s="3">
        <v>2</v>
      </c>
      <c r="X18" s="3">
        <v>0</v>
      </c>
      <c r="Y18" s="3">
        <v>1</v>
      </c>
      <c r="Z18" s="3">
        <v>0</v>
      </c>
      <c r="AA18" s="3">
        <v>0</v>
      </c>
      <c r="AC18" s="3">
        <v>1</v>
      </c>
      <c r="AM18" s="2" t="s">
        <v>51</v>
      </c>
      <c r="AN18" s="3" t="s">
        <v>122</v>
      </c>
      <c r="AO18" s="3" t="str">
        <f t="shared" si="69"/>
        <v>N</v>
      </c>
      <c r="AP18" s="3" t="s">
        <v>51</v>
      </c>
      <c r="AQ18" s="3" t="s">
        <v>51</v>
      </c>
      <c r="AR18" s="3" t="s">
        <v>51</v>
      </c>
      <c r="AS18" t="s">
        <v>128</v>
      </c>
      <c r="AT18" t="s">
        <v>131</v>
      </c>
      <c r="AU18">
        <v>5</v>
      </c>
      <c r="AV18">
        <f t="shared" si="15"/>
        <v>0</v>
      </c>
      <c r="AX18">
        <f t="shared" si="16"/>
        <v>0</v>
      </c>
      <c r="AY18">
        <f t="shared" si="17"/>
        <v>0</v>
      </c>
      <c r="AZ18">
        <f t="shared" si="18"/>
        <v>0</v>
      </c>
      <c r="BA18">
        <f t="shared" si="19"/>
        <v>0</v>
      </c>
      <c r="BB18">
        <f t="shared" si="0"/>
        <v>0</v>
      </c>
      <c r="BC18">
        <f t="shared" si="1"/>
        <v>0</v>
      </c>
      <c r="BD18">
        <f t="shared" si="2"/>
        <v>1</v>
      </c>
      <c r="BE18">
        <f t="shared" si="3"/>
        <v>0</v>
      </c>
      <c r="BF18">
        <f t="shared" si="4"/>
        <v>0</v>
      </c>
      <c r="BG18">
        <f t="shared" si="5"/>
        <v>0</v>
      </c>
      <c r="BH18">
        <f t="shared" si="6"/>
        <v>0</v>
      </c>
      <c r="BI18">
        <f t="shared" si="7"/>
        <v>0</v>
      </c>
      <c r="BJ18">
        <f t="shared" si="20"/>
        <v>0</v>
      </c>
      <c r="BK18">
        <f t="shared" si="21"/>
        <v>0</v>
      </c>
      <c r="BL18">
        <f t="shared" si="22"/>
        <v>3</v>
      </c>
      <c r="BM18">
        <f t="shared" si="23"/>
        <v>1</v>
      </c>
      <c r="BN18">
        <f t="shared" si="8"/>
        <v>0.33333333333333331</v>
      </c>
      <c r="BO18">
        <f t="shared" si="9"/>
        <v>0</v>
      </c>
      <c r="BP18">
        <f t="shared" si="10"/>
        <v>0.33333333333333331</v>
      </c>
      <c r="BQ18" t="e">
        <f t="shared" si="11"/>
        <v>#DIV/0!</v>
      </c>
      <c r="BR18" t="str">
        <f t="shared" si="12"/>
        <v>Yes</v>
      </c>
      <c r="BS18" t="str">
        <f t="shared" si="13"/>
        <v>Yes</v>
      </c>
      <c r="BT18" t="str">
        <f t="shared" si="24"/>
        <v>No</v>
      </c>
      <c r="BU18" s="3" t="s">
        <v>137</v>
      </c>
      <c r="BV18" t="s">
        <v>51</v>
      </c>
      <c r="BX18">
        <f t="shared" si="14"/>
        <v>4</v>
      </c>
      <c r="BY18">
        <f t="shared" si="25"/>
        <v>0</v>
      </c>
      <c r="BZ18">
        <f t="shared" si="26"/>
        <v>2</v>
      </c>
      <c r="CA18">
        <f t="shared" si="27"/>
        <v>1</v>
      </c>
      <c r="CB18">
        <f t="shared" si="28"/>
        <v>0</v>
      </c>
      <c r="CC18">
        <f t="shared" si="29"/>
        <v>0.5</v>
      </c>
      <c r="CD18">
        <f t="shared" si="30"/>
        <v>0.33333333333333331</v>
      </c>
      <c r="CE18">
        <f t="shared" si="31"/>
        <v>2</v>
      </c>
      <c r="CF18">
        <f t="shared" si="32"/>
        <v>0</v>
      </c>
      <c r="CG18">
        <f t="shared" si="33"/>
        <v>1</v>
      </c>
      <c r="CH18">
        <f t="shared" si="34"/>
        <v>0</v>
      </c>
      <c r="CI18">
        <f t="shared" si="35"/>
        <v>2</v>
      </c>
      <c r="CJ18">
        <f t="shared" si="36"/>
        <v>0</v>
      </c>
      <c r="CK18">
        <f t="shared" si="37"/>
        <v>1</v>
      </c>
      <c r="CL18">
        <f t="shared" si="38"/>
        <v>1</v>
      </c>
      <c r="CM18">
        <f t="shared" si="39"/>
        <v>0</v>
      </c>
      <c r="CN18">
        <f t="shared" si="40"/>
        <v>0</v>
      </c>
      <c r="CO18">
        <f t="shared" si="41"/>
        <v>0</v>
      </c>
      <c r="CP18">
        <f t="shared" si="42"/>
        <v>0</v>
      </c>
      <c r="CQ18">
        <f t="shared" si="43"/>
        <v>2</v>
      </c>
      <c r="CR18">
        <f t="shared" si="44"/>
        <v>0</v>
      </c>
      <c r="CS18">
        <f t="shared" si="45"/>
        <v>1</v>
      </c>
      <c r="CT18">
        <f t="shared" si="46"/>
        <v>1</v>
      </c>
      <c r="CU18">
        <f t="shared" si="47"/>
        <v>3</v>
      </c>
      <c r="CV18">
        <f t="shared" si="48"/>
        <v>0</v>
      </c>
      <c r="CW18">
        <f t="shared" si="49"/>
        <v>3</v>
      </c>
      <c r="CX18">
        <f t="shared" si="50"/>
        <v>1</v>
      </c>
      <c r="CY18">
        <f t="shared" si="51"/>
        <v>0</v>
      </c>
      <c r="CZ18">
        <f t="shared" si="52"/>
        <v>0</v>
      </c>
      <c r="DA18">
        <f t="shared" si="53"/>
        <v>3</v>
      </c>
      <c r="DB18">
        <f t="shared" si="54"/>
        <v>0</v>
      </c>
      <c r="DC18">
        <f t="shared" si="55"/>
        <v>0</v>
      </c>
      <c r="DD18">
        <f t="shared" si="56"/>
        <v>0</v>
      </c>
      <c r="DE18">
        <f t="shared" si="57"/>
        <v>3</v>
      </c>
      <c r="DF18">
        <f t="shared" si="58"/>
        <v>1</v>
      </c>
      <c r="DG18">
        <f t="shared" si="59"/>
        <v>0</v>
      </c>
      <c r="DH18">
        <f t="shared" si="60"/>
        <v>0</v>
      </c>
      <c r="DI18">
        <f t="shared" si="61"/>
        <v>0</v>
      </c>
      <c r="DJ18">
        <f t="shared" si="62"/>
        <v>0</v>
      </c>
      <c r="DK18">
        <f t="shared" si="63"/>
        <v>0</v>
      </c>
      <c r="DL18">
        <f t="shared" si="64"/>
        <v>0</v>
      </c>
      <c r="DM18">
        <f t="shared" si="65"/>
        <v>3</v>
      </c>
      <c r="DN18">
        <f t="shared" si="66"/>
        <v>1</v>
      </c>
      <c r="DO18">
        <f t="shared" si="67"/>
        <v>0</v>
      </c>
      <c r="DP18">
        <f t="shared" si="68"/>
        <v>0</v>
      </c>
      <c r="DQ18" s="3" t="s">
        <v>291</v>
      </c>
      <c r="DR18" s="3" t="s">
        <v>299</v>
      </c>
      <c r="DS18" s="3"/>
      <c r="DT18" s="3"/>
    </row>
    <row r="19" spans="1:124" ht="101.5" x14ac:dyDescent="0.35">
      <c r="A19" s="2" t="s">
        <v>32</v>
      </c>
      <c r="B19" s="2">
        <v>2016</v>
      </c>
      <c r="C19" s="2" t="s">
        <v>172</v>
      </c>
      <c r="D19" s="3" t="s">
        <v>44</v>
      </c>
      <c r="E19" s="3" t="s">
        <v>44</v>
      </c>
      <c r="F19" s="2" t="s">
        <v>45</v>
      </c>
      <c r="G19" s="3" t="s">
        <v>74</v>
      </c>
      <c r="H19" s="2" t="s">
        <v>50</v>
      </c>
      <c r="I19" s="2" t="s">
        <v>77</v>
      </c>
      <c r="J19" s="2" t="s">
        <v>79</v>
      </c>
      <c r="K19" s="2" t="s">
        <v>51</v>
      </c>
      <c r="L19" s="2" t="s">
        <v>111</v>
      </c>
      <c r="M19" s="3" t="s">
        <v>50</v>
      </c>
      <c r="N19" s="2" t="s">
        <v>51</v>
      </c>
      <c r="O19" s="3">
        <v>0</v>
      </c>
      <c r="P19" s="3">
        <v>0</v>
      </c>
      <c r="Q19" s="3">
        <v>6</v>
      </c>
      <c r="R19" s="3">
        <v>0</v>
      </c>
      <c r="U19" s="3">
        <v>1</v>
      </c>
      <c r="W19" s="3">
        <v>0</v>
      </c>
      <c r="X19" s="3">
        <v>0</v>
      </c>
      <c r="Y19" s="3">
        <v>6</v>
      </c>
      <c r="Z19" s="3">
        <v>0</v>
      </c>
      <c r="AC19" s="3">
        <v>1</v>
      </c>
      <c r="AE19" s="3">
        <v>0</v>
      </c>
      <c r="AF19" s="3">
        <v>0</v>
      </c>
      <c r="AG19" s="3">
        <v>6</v>
      </c>
      <c r="AH19" s="3">
        <v>0</v>
      </c>
      <c r="AK19" s="3">
        <v>1</v>
      </c>
      <c r="AM19" s="2" t="s">
        <v>50</v>
      </c>
      <c r="AN19" s="3" t="s">
        <v>122</v>
      </c>
      <c r="AO19" s="3" t="str">
        <f t="shared" si="69"/>
        <v>N</v>
      </c>
      <c r="AP19" s="3" t="s">
        <v>51</v>
      </c>
      <c r="AQ19" s="3" t="s">
        <v>51</v>
      </c>
      <c r="AR19" s="3" t="s">
        <v>51</v>
      </c>
      <c r="AS19" t="s">
        <v>128</v>
      </c>
      <c r="AT19" t="s">
        <v>132</v>
      </c>
      <c r="AU19">
        <v>8</v>
      </c>
      <c r="AV19">
        <f t="shared" si="15"/>
        <v>1</v>
      </c>
      <c r="AX19">
        <f t="shared" si="16"/>
        <v>0</v>
      </c>
      <c r="AY19">
        <f t="shared" si="17"/>
        <v>0</v>
      </c>
      <c r="AZ19">
        <f t="shared" si="18"/>
        <v>6</v>
      </c>
      <c r="BA19">
        <f t="shared" si="19"/>
        <v>0</v>
      </c>
      <c r="BB19">
        <f t="shared" si="0"/>
        <v>0</v>
      </c>
      <c r="BC19">
        <f t="shared" si="1"/>
        <v>0</v>
      </c>
      <c r="BD19">
        <f t="shared" si="2"/>
        <v>6</v>
      </c>
      <c r="BE19">
        <f t="shared" si="3"/>
        <v>0</v>
      </c>
      <c r="BF19">
        <f t="shared" si="4"/>
        <v>0</v>
      </c>
      <c r="BG19">
        <f t="shared" si="5"/>
        <v>0</v>
      </c>
      <c r="BH19">
        <f t="shared" si="6"/>
        <v>6</v>
      </c>
      <c r="BI19">
        <f t="shared" si="7"/>
        <v>0</v>
      </c>
      <c r="BJ19">
        <f t="shared" si="20"/>
        <v>1</v>
      </c>
      <c r="BK19">
        <f t="shared" si="21"/>
        <v>0</v>
      </c>
      <c r="BL19">
        <f t="shared" si="22"/>
        <v>6</v>
      </c>
      <c r="BM19">
        <f t="shared" si="23"/>
        <v>6</v>
      </c>
      <c r="BN19">
        <f t="shared" si="8"/>
        <v>1</v>
      </c>
      <c r="BO19">
        <f t="shared" si="9"/>
        <v>1</v>
      </c>
      <c r="BP19">
        <f t="shared" si="10"/>
        <v>1</v>
      </c>
      <c r="BQ19">
        <f t="shared" si="11"/>
        <v>1</v>
      </c>
      <c r="BR19" t="str">
        <f t="shared" si="12"/>
        <v>Yes</v>
      </c>
      <c r="BS19" t="str">
        <f t="shared" si="13"/>
        <v>Yes</v>
      </c>
      <c r="BT19" t="str">
        <f t="shared" si="24"/>
        <v>Yes</v>
      </c>
      <c r="BU19" s="3" t="s">
        <v>137</v>
      </c>
      <c r="BV19" t="s">
        <v>50</v>
      </c>
      <c r="BW19" t="s">
        <v>148</v>
      </c>
      <c r="BX19">
        <f t="shared" si="14"/>
        <v>0</v>
      </c>
      <c r="BY19">
        <f t="shared" si="25"/>
        <v>0</v>
      </c>
      <c r="BZ19">
        <f t="shared" si="26"/>
        <v>18</v>
      </c>
      <c r="CA19">
        <f t="shared" si="27"/>
        <v>18</v>
      </c>
      <c r="CB19" t="e">
        <f t="shared" si="28"/>
        <v>#DIV/0!</v>
      </c>
      <c r="CC19">
        <f t="shared" si="29"/>
        <v>1</v>
      </c>
      <c r="CD19">
        <f t="shared" si="30"/>
        <v>1</v>
      </c>
      <c r="CE19">
        <f t="shared" si="31"/>
        <v>0</v>
      </c>
      <c r="CF19">
        <f t="shared" si="32"/>
        <v>0</v>
      </c>
      <c r="CG19">
        <f t="shared" si="33"/>
        <v>6</v>
      </c>
      <c r="CH19">
        <f t="shared" si="34"/>
        <v>6</v>
      </c>
      <c r="CI19">
        <f t="shared" si="35"/>
        <v>0</v>
      </c>
      <c r="CJ19">
        <f t="shared" si="36"/>
        <v>0</v>
      </c>
      <c r="CK19">
        <f t="shared" si="37"/>
        <v>6</v>
      </c>
      <c r="CL19">
        <f t="shared" si="38"/>
        <v>6</v>
      </c>
      <c r="CM19">
        <f t="shared" si="39"/>
        <v>0</v>
      </c>
      <c r="CN19">
        <f t="shared" si="40"/>
        <v>0</v>
      </c>
      <c r="CO19">
        <f t="shared" si="41"/>
        <v>6</v>
      </c>
      <c r="CP19">
        <f t="shared" si="42"/>
        <v>6</v>
      </c>
      <c r="CQ19">
        <f t="shared" si="43"/>
        <v>0</v>
      </c>
      <c r="CR19">
        <f t="shared" si="44"/>
        <v>0</v>
      </c>
      <c r="CS19">
        <f t="shared" si="45"/>
        <v>6</v>
      </c>
      <c r="CT19">
        <f t="shared" si="46"/>
        <v>6</v>
      </c>
      <c r="CU19">
        <f t="shared" si="47"/>
        <v>6</v>
      </c>
      <c r="CV19">
        <f t="shared" si="48"/>
        <v>6</v>
      </c>
      <c r="CW19">
        <f t="shared" si="49"/>
        <v>6</v>
      </c>
      <c r="CX19">
        <f t="shared" si="50"/>
        <v>6</v>
      </c>
      <c r="CY19">
        <f t="shared" si="51"/>
        <v>6</v>
      </c>
      <c r="CZ19">
        <f t="shared" si="52"/>
        <v>6</v>
      </c>
      <c r="DA19">
        <f t="shared" si="53"/>
        <v>6</v>
      </c>
      <c r="DB19">
        <f t="shared" si="54"/>
        <v>6</v>
      </c>
      <c r="DC19">
        <f t="shared" si="55"/>
        <v>0</v>
      </c>
      <c r="DD19">
        <f t="shared" si="56"/>
        <v>0</v>
      </c>
      <c r="DE19">
        <f t="shared" si="57"/>
        <v>6</v>
      </c>
      <c r="DF19">
        <f t="shared" si="58"/>
        <v>6</v>
      </c>
      <c r="DG19">
        <f t="shared" si="59"/>
        <v>0</v>
      </c>
      <c r="DH19">
        <f t="shared" si="60"/>
        <v>0</v>
      </c>
      <c r="DI19">
        <f t="shared" si="61"/>
        <v>6</v>
      </c>
      <c r="DJ19">
        <f t="shared" si="62"/>
        <v>6</v>
      </c>
      <c r="DK19">
        <f t="shared" si="63"/>
        <v>0</v>
      </c>
      <c r="DL19">
        <f t="shared" si="64"/>
        <v>0</v>
      </c>
      <c r="DM19">
        <f t="shared" si="65"/>
        <v>6</v>
      </c>
      <c r="DN19">
        <f t="shared" si="66"/>
        <v>6</v>
      </c>
      <c r="DO19">
        <f t="shared" si="67"/>
        <v>0</v>
      </c>
      <c r="DP19">
        <f t="shared" si="68"/>
        <v>0</v>
      </c>
      <c r="DQ19" s="3" t="s">
        <v>291</v>
      </c>
      <c r="DR19" s="3" t="s">
        <v>304</v>
      </c>
      <c r="DS19" s="3" t="s">
        <v>290</v>
      </c>
      <c r="DT19" s="3"/>
    </row>
    <row r="20" spans="1:124" ht="130.5" x14ac:dyDescent="0.35">
      <c r="A20" s="2" t="s">
        <v>20</v>
      </c>
      <c r="B20" s="2">
        <v>1998</v>
      </c>
      <c r="C20" s="2" t="s">
        <v>173</v>
      </c>
      <c r="D20" s="3" t="s">
        <v>41</v>
      </c>
      <c r="E20" s="3" t="s">
        <v>41</v>
      </c>
      <c r="F20" s="2" t="s">
        <v>63</v>
      </c>
      <c r="G20" s="3" t="s">
        <v>72</v>
      </c>
      <c r="H20" s="2" t="s">
        <v>51</v>
      </c>
      <c r="I20" s="2" t="s">
        <v>70</v>
      </c>
      <c r="J20" s="2" t="s">
        <v>79</v>
      </c>
      <c r="K20" s="2" t="s">
        <v>50</v>
      </c>
      <c r="L20" s="2" t="s">
        <v>112</v>
      </c>
      <c r="M20" s="3" t="s">
        <v>51</v>
      </c>
      <c r="N20" s="2" t="s">
        <v>50</v>
      </c>
      <c r="O20" s="3">
        <v>21</v>
      </c>
      <c r="P20" s="3">
        <v>0</v>
      </c>
      <c r="Q20" s="3">
        <v>0</v>
      </c>
      <c r="R20" s="3">
        <v>0</v>
      </c>
      <c r="S20" s="3">
        <v>0.47599999999999998</v>
      </c>
      <c r="W20" s="3">
        <v>21</v>
      </c>
      <c r="X20" s="3">
        <v>0</v>
      </c>
      <c r="Y20" s="3">
        <v>0</v>
      </c>
      <c r="Z20" s="3">
        <v>0</v>
      </c>
      <c r="AA20" s="3">
        <v>4.8000000000000001E-2</v>
      </c>
      <c r="AM20" s="2" t="s">
        <v>50</v>
      </c>
      <c r="AN20" s="3" t="s">
        <v>122</v>
      </c>
      <c r="AO20" s="3" t="str">
        <f t="shared" si="69"/>
        <v>N</v>
      </c>
      <c r="AP20" s="3" t="s">
        <v>51</v>
      </c>
      <c r="AQ20" s="3" t="s">
        <v>50</v>
      </c>
      <c r="AR20" s="3" t="s">
        <v>51</v>
      </c>
      <c r="AS20" t="s">
        <v>128</v>
      </c>
      <c r="AT20" t="s">
        <v>131</v>
      </c>
      <c r="AU20">
        <v>6</v>
      </c>
      <c r="AV20">
        <f t="shared" si="15"/>
        <v>3</v>
      </c>
      <c r="AX20">
        <f t="shared" si="16"/>
        <v>9.9959999999999987</v>
      </c>
      <c r="AY20">
        <f t="shared" si="17"/>
        <v>0</v>
      </c>
      <c r="AZ20">
        <f t="shared" si="18"/>
        <v>0</v>
      </c>
      <c r="BA20">
        <f t="shared" si="19"/>
        <v>0</v>
      </c>
      <c r="BB20">
        <f t="shared" si="0"/>
        <v>1.008</v>
      </c>
      <c r="BC20">
        <f t="shared" si="1"/>
        <v>0</v>
      </c>
      <c r="BD20">
        <f t="shared" si="2"/>
        <v>0</v>
      </c>
      <c r="BE20">
        <f t="shared" si="3"/>
        <v>0</v>
      </c>
      <c r="BF20">
        <f t="shared" si="4"/>
        <v>0</v>
      </c>
      <c r="BG20">
        <f t="shared" si="5"/>
        <v>0</v>
      </c>
      <c r="BH20">
        <f t="shared" si="6"/>
        <v>0</v>
      </c>
      <c r="BI20">
        <f t="shared" si="7"/>
        <v>0</v>
      </c>
      <c r="BJ20">
        <f t="shared" si="20"/>
        <v>2</v>
      </c>
      <c r="BK20">
        <f t="shared" si="21"/>
        <v>1</v>
      </c>
      <c r="BL20">
        <f t="shared" si="22"/>
        <v>21</v>
      </c>
      <c r="BM20">
        <f t="shared" si="23"/>
        <v>10</v>
      </c>
      <c r="BN20">
        <f t="shared" si="8"/>
        <v>0.47619047619047616</v>
      </c>
      <c r="BO20">
        <f t="shared" si="9"/>
        <v>0.47599999999999992</v>
      </c>
      <c r="BP20">
        <f t="shared" si="10"/>
        <v>4.8000000000000001E-2</v>
      </c>
      <c r="BQ20" t="e">
        <f t="shared" si="11"/>
        <v>#DIV/0!</v>
      </c>
      <c r="BR20" t="str">
        <f t="shared" si="12"/>
        <v>Yes</v>
      </c>
      <c r="BS20" t="str">
        <f t="shared" si="13"/>
        <v>Yes</v>
      </c>
      <c r="BT20" t="str">
        <f t="shared" si="24"/>
        <v>No</v>
      </c>
      <c r="BU20" s="3" t="s">
        <v>137</v>
      </c>
      <c r="BV20" t="s">
        <v>51</v>
      </c>
      <c r="BX20">
        <f t="shared" si="14"/>
        <v>42</v>
      </c>
      <c r="BY20">
        <f t="shared" si="25"/>
        <v>11.003999999999998</v>
      </c>
      <c r="BZ20">
        <f t="shared" si="26"/>
        <v>0</v>
      </c>
      <c r="CA20">
        <f t="shared" si="27"/>
        <v>0</v>
      </c>
      <c r="CB20">
        <f t="shared" si="28"/>
        <v>0.26199999999999996</v>
      </c>
      <c r="CC20" t="e">
        <f t="shared" si="29"/>
        <v>#DIV/0!</v>
      </c>
      <c r="CD20">
        <f t="shared" si="30"/>
        <v>0</v>
      </c>
      <c r="CE20">
        <f t="shared" si="31"/>
        <v>21</v>
      </c>
      <c r="CF20">
        <f t="shared" si="32"/>
        <v>9.9959999999999987</v>
      </c>
      <c r="CG20">
        <f t="shared" si="33"/>
        <v>0</v>
      </c>
      <c r="CH20">
        <f t="shared" si="34"/>
        <v>0</v>
      </c>
      <c r="CI20">
        <f t="shared" si="35"/>
        <v>21</v>
      </c>
      <c r="CJ20">
        <f t="shared" si="36"/>
        <v>1.008</v>
      </c>
      <c r="CK20">
        <f t="shared" si="37"/>
        <v>0</v>
      </c>
      <c r="CL20">
        <f t="shared" si="38"/>
        <v>0</v>
      </c>
      <c r="CM20">
        <f t="shared" si="39"/>
        <v>0</v>
      </c>
      <c r="CN20">
        <f t="shared" si="40"/>
        <v>0</v>
      </c>
      <c r="CO20">
        <f t="shared" si="41"/>
        <v>0</v>
      </c>
      <c r="CP20">
        <f t="shared" si="42"/>
        <v>0</v>
      </c>
      <c r="CQ20">
        <f t="shared" si="43"/>
        <v>21</v>
      </c>
      <c r="CR20">
        <f t="shared" si="44"/>
        <v>10</v>
      </c>
      <c r="CS20">
        <f t="shared" si="45"/>
        <v>0</v>
      </c>
      <c r="CT20">
        <f t="shared" si="46"/>
        <v>0</v>
      </c>
      <c r="CU20">
        <f t="shared" si="47"/>
        <v>21</v>
      </c>
      <c r="CV20">
        <f t="shared" si="48"/>
        <v>10</v>
      </c>
      <c r="CW20">
        <f t="shared" si="49"/>
        <v>21</v>
      </c>
      <c r="CX20">
        <f t="shared" si="50"/>
        <v>1</v>
      </c>
      <c r="CY20">
        <f t="shared" si="51"/>
        <v>0</v>
      </c>
      <c r="CZ20">
        <f t="shared" si="52"/>
        <v>0</v>
      </c>
      <c r="DA20">
        <f t="shared" si="53"/>
        <v>21</v>
      </c>
      <c r="DB20">
        <f t="shared" si="54"/>
        <v>10</v>
      </c>
      <c r="DC20">
        <f t="shared" si="55"/>
        <v>0</v>
      </c>
      <c r="DD20">
        <f t="shared" si="56"/>
        <v>0</v>
      </c>
      <c r="DE20">
        <f t="shared" si="57"/>
        <v>21</v>
      </c>
      <c r="DF20">
        <f t="shared" si="58"/>
        <v>1</v>
      </c>
      <c r="DG20">
        <f t="shared" si="59"/>
        <v>0</v>
      </c>
      <c r="DH20">
        <f t="shared" si="60"/>
        <v>0</v>
      </c>
      <c r="DI20">
        <f t="shared" si="61"/>
        <v>0</v>
      </c>
      <c r="DJ20">
        <f t="shared" si="62"/>
        <v>0</v>
      </c>
      <c r="DK20">
        <f t="shared" si="63"/>
        <v>0</v>
      </c>
      <c r="DL20">
        <f t="shared" si="64"/>
        <v>0</v>
      </c>
      <c r="DM20">
        <f t="shared" si="65"/>
        <v>21</v>
      </c>
      <c r="DN20">
        <f t="shared" si="66"/>
        <v>10</v>
      </c>
      <c r="DO20">
        <f t="shared" si="67"/>
        <v>0</v>
      </c>
      <c r="DP20">
        <f t="shared" si="68"/>
        <v>0</v>
      </c>
      <c r="DQ20" s="3" t="s">
        <v>291</v>
      </c>
      <c r="DR20" s="3" t="s">
        <v>305</v>
      </c>
      <c r="DS20" s="3" t="s">
        <v>287</v>
      </c>
      <c r="DT20" s="3" t="s">
        <v>306</v>
      </c>
    </row>
    <row r="21" spans="1:124" ht="43.5" x14ac:dyDescent="0.35">
      <c r="A21" s="2" t="s">
        <v>26</v>
      </c>
      <c r="B21" s="2">
        <v>2009</v>
      </c>
      <c r="C21" s="2" t="s">
        <v>172</v>
      </c>
      <c r="D21" s="3" t="s">
        <v>43</v>
      </c>
      <c r="E21" s="3" t="s">
        <v>43</v>
      </c>
      <c r="F21" s="2" t="s">
        <v>67</v>
      </c>
      <c r="G21" s="3" t="s">
        <v>74</v>
      </c>
      <c r="H21" s="2" t="s">
        <v>51</v>
      </c>
      <c r="I21" s="2" t="s">
        <v>70</v>
      </c>
      <c r="J21" s="2" t="s">
        <v>79</v>
      </c>
      <c r="K21" s="2" t="s">
        <v>51</v>
      </c>
      <c r="L21" s="2" t="s">
        <v>111</v>
      </c>
      <c r="M21" s="3" t="s">
        <v>50</v>
      </c>
      <c r="N21" s="2" t="s">
        <v>50</v>
      </c>
      <c r="O21" s="3">
        <v>0</v>
      </c>
      <c r="P21" s="3">
        <v>0</v>
      </c>
      <c r="Q21" s="3">
        <v>2</v>
      </c>
      <c r="R21" s="3">
        <v>0</v>
      </c>
      <c r="U21" s="3">
        <v>0.5</v>
      </c>
      <c r="W21" s="3">
        <v>0</v>
      </c>
      <c r="X21" s="3">
        <v>0</v>
      </c>
      <c r="Y21" s="3">
        <v>2</v>
      </c>
      <c r="Z21" s="3">
        <v>0</v>
      </c>
      <c r="AC21" s="3">
        <v>0.5</v>
      </c>
      <c r="AM21" s="2" t="s">
        <v>51</v>
      </c>
      <c r="AN21" s="3" t="s">
        <v>122</v>
      </c>
      <c r="AO21" s="3" t="str">
        <f t="shared" si="69"/>
        <v>N</v>
      </c>
      <c r="AP21" s="3" t="s">
        <v>50</v>
      </c>
      <c r="AQ21" s="3" t="s">
        <v>50</v>
      </c>
      <c r="AR21" s="3" t="s">
        <v>51</v>
      </c>
      <c r="AS21" t="s">
        <v>128</v>
      </c>
      <c r="AT21" t="s">
        <v>132</v>
      </c>
      <c r="AU21">
        <v>5</v>
      </c>
      <c r="AV21">
        <f t="shared" si="15"/>
        <v>2</v>
      </c>
      <c r="AX21">
        <f t="shared" si="16"/>
        <v>0</v>
      </c>
      <c r="AY21">
        <f t="shared" si="17"/>
        <v>0</v>
      </c>
      <c r="AZ21">
        <f t="shared" si="18"/>
        <v>1</v>
      </c>
      <c r="BA21">
        <f t="shared" si="19"/>
        <v>0</v>
      </c>
      <c r="BB21">
        <f t="shared" si="0"/>
        <v>0</v>
      </c>
      <c r="BC21">
        <f t="shared" si="1"/>
        <v>0</v>
      </c>
      <c r="BD21">
        <f t="shared" si="2"/>
        <v>1</v>
      </c>
      <c r="BE21">
        <f t="shared" si="3"/>
        <v>0</v>
      </c>
      <c r="BF21">
        <f t="shared" si="4"/>
        <v>0</v>
      </c>
      <c r="BG21">
        <f t="shared" si="5"/>
        <v>0</v>
      </c>
      <c r="BH21">
        <f t="shared" si="6"/>
        <v>0</v>
      </c>
      <c r="BI21">
        <f t="shared" si="7"/>
        <v>0</v>
      </c>
      <c r="BJ21">
        <f t="shared" si="20"/>
        <v>0</v>
      </c>
      <c r="BK21">
        <f t="shared" si="21"/>
        <v>2</v>
      </c>
      <c r="BL21">
        <f t="shared" si="22"/>
        <v>2</v>
      </c>
      <c r="BM21">
        <f t="shared" si="23"/>
        <v>1</v>
      </c>
      <c r="BN21">
        <f t="shared" si="8"/>
        <v>0.5</v>
      </c>
      <c r="BO21">
        <f t="shared" si="9"/>
        <v>0.5</v>
      </c>
      <c r="BP21">
        <f t="shared" si="10"/>
        <v>0.5</v>
      </c>
      <c r="BQ21" t="e">
        <f t="shared" si="11"/>
        <v>#DIV/0!</v>
      </c>
      <c r="BR21" t="str">
        <f t="shared" si="12"/>
        <v>Yes</v>
      </c>
      <c r="BS21" t="str">
        <f t="shared" si="13"/>
        <v>Yes</v>
      </c>
      <c r="BT21" t="str">
        <f t="shared" si="24"/>
        <v>No</v>
      </c>
      <c r="BU21" s="3" t="s">
        <v>36</v>
      </c>
      <c r="BV21" t="s">
        <v>51</v>
      </c>
      <c r="BX21">
        <f t="shared" si="14"/>
        <v>0</v>
      </c>
      <c r="BY21">
        <f t="shared" si="25"/>
        <v>0</v>
      </c>
      <c r="BZ21">
        <f t="shared" si="26"/>
        <v>4</v>
      </c>
      <c r="CA21">
        <f t="shared" si="27"/>
        <v>2</v>
      </c>
      <c r="CB21" t="e">
        <f t="shared" si="28"/>
        <v>#DIV/0!</v>
      </c>
      <c r="CC21">
        <f t="shared" si="29"/>
        <v>0.5</v>
      </c>
      <c r="CD21">
        <f t="shared" si="30"/>
        <v>1</v>
      </c>
      <c r="CE21">
        <f t="shared" si="31"/>
        <v>0</v>
      </c>
      <c r="CF21">
        <f t="shared" si="32"/>
        <v>0</v>
      </c>
      <c r="CG21">
        <f t="shared" si="33"/>
        <v>2</v>
      </c>
      <c r="CH21">
        <f t="shared" si="34"/>
        <v>1</v>
      </c>
      <c r="CI21">
        <f t="shared" si="35"/>
        <v>0</v>
      </c>
      <c r="CJ21">
        <f t="shared" si="36"/>
        <v>0</v>
      </c>
      <c r="CK21">
        <f t="shared" si="37"/>
        <v>2</v>
      </c>
      <c r="CL21">
        <f t="shared" si="38"/>
        <v>1</v>
      </c>
      <c r="CM21">
        <f t="shared" si="39"/>
        <v>0</v>
      </c>
      <c r="CN21">
        <f t="shared" si="40"/>
        <v>0</v>
      </c>
      <c r="CO21">
        <f t="shared" si="41"/>
        <v>0</v>
      </c>
      <c r="CP21">
        <f t="shared" si="42"/>
        <v>0</v>
      </c>
      <c r="CQ21">
        <f t="shared" si="43"/>
        <v>0</v>
      </c>
      <c r="CR21">
        <f t="shared" si="44"/>
        <v>0</v>
      </c>
      <c r="CS21">
        <f t="shared" si="45"/>
        <v>2</v>
      </c>
      <c r="CT21">
        <f t="shared" si="46"/>
        <v>1</v>
      </c>
      <c r="CU21">
        <f t="shared" si="47"/>
        <v>2</v>
      </c>
      <c r="CV21">
        <f t="shared" si="48"/>
        <v>1</v>
      </c>
      <c r="CW21">
        <f t="shared" si="49"/>
        <v>2</v>
      </c>
      <c r="CX21">
        <f t="shared" si="50"/>
        <v>1</v>
      </c>
      <c r="CY21">
        <f t="shared" si="51"/>
        <v>0</v>
      </c>
      <c r="CZ21">
        <f t="shared" si="52"/>
        <v>0</v>
      </c>
      <c r="DA21">
        <f t="shared" si="53"/>
        <v>2</v>
      </c>
      <c r="DB21">
        <f t="shared" si="54"/>
        <v>1</v>
      </c>
      <c r="DC21">
        <f t="shared" si="55"/>
        <v>0</v>
      </c>
      <c r="DD21">
        <f t="shared" si="56"/>
        <v>0</v>
      </c>
      <c r="DE21">
        <f t="shared" si="57"/>
        <v>2</v>
      </c>
      <c r="DF21">
        <f t="shared" si="58"/>
        <v>1</v>
      </c>
      <c r="DG21">
        <f t="shared" si="59"/>
        <v>0</v>
      </c>
      <c r="DH21">
        <f t="shared" si="60"/>
        <v>0</v>
      </c>
      <c r="DI21">
        <f t="shared" si="61"/>
        <v>0</v>
      </c>
      <c r="DJ21">
        <f t="shared" si="62"/>
        <v>0</v>
      </c>
      <c r="DK21">
        <f t="shared" si="63"/>
        <v>0</v>
      </c>
      <c r="DL21">
        <f t="shared" si="64"/>
        <v>0</v>
      </c>
      <c r="DM21">
        <f t="shared" si="65"/>
        <v>2</v>
      </c>
      <c r="DN21">
        <f t="shared" si="66"/>
        <v>1</v>
      </c>
      <c r="DO21">
        <f t="shared" si="67"/>
        <v>0</v>
      </c>
      <c r="DP21">
        <f t="shared" si="68"/>
        <v>0</v>
      </c>
      <c r="DQ21" s="3" t="s">
        <v>291</v>
      </c>
      <c r="DR21" s="3" t="s">
        <v>307</v>
      </c>
      <c r="DS21" s="3" t="s">
        <v>290</v>
      </c>
      <c r="DT21" s="3"/>
    </row>
    <row r="22" spans="1:124" ht="409.5" x14ac:dyDescent="0.35">
      <c r="A22" s="2" t="s">
        <v>3</v>
      </c>
      <c r="B22" s="2">
        <v>1961</v>
      </c>
      <c r="C22" s="5" t="s">
        <v>35</v>
      </c>
      <c r="D22" s="3" t="s">
        <v>38</v>
      </c>
      <c r="E22" s="3" t="s">
        <v>41</v>
      </c>
      <c r="F22" s="2" t="s">
        <v>54</v>
      </c>
      <c r="G22" s="3" t="s">
        <v>72</v>
      </c>
      <c r="H22" s="2" t="s">
        <v>51</v>
      </c>
      <c r="I22" s="2" t="s">
        <v>77</v>
      </c>
      <c r="J22" s="2" t="s">
        <v>79</v>
      </c>
      <c r="K22" s="2" t="s">
        <v>51</v>
      </c>
      <c r="L22" s="2" t="s">
        <v>149</v>
      </c>
      <c r="M22" s="3" t="s">
        <v>51</v>
      </c>
      <c r="N22" s="2" t="s">
        <v>50</v>
      </c>
      <c r="O22" s="3">
        <v>4</v>
      </c>
      <c r="P22" s="3">
        <v>3</v>
      </c>
      <c r="Q22" s="3">
        <v>3</v>
      </c>
      <c r="R22" s="3">
        <v>0</v>
      </c>
      <c r="S22" s="3">
        <v>0.75</v>
      </c>
      <c r="T22" s="3">
        <v>0.33</v>
      </c>
      <c r="U22" s="3">
        <v>0.66</v>
      </c>
      <c r="AM22" s="2" t="s">
        <v>51</v>
      </c>
      <c r="AN22" s="3" t="s">
        <v>120</v>
      </c>
      <c r="AO22" s="3" t="str">
        <f t="shared" si="69"/>
        <v>N</v>
      </c>
      <c r="AP22" s="3" t="s">
        <v>51</v>
      </c>
      <c r="AQ22" s="3" t="s">
        <v>50</v>
      </c>
      <c r="AR22" s="3" t="s">
        <v>51</v>
      </c>
      <c r="AS22" t="s">
        <v>127</v>
      </c>
      <c r="AT22" t="s">
        <v>130</v>
      </c>
      <c r="AU22">
        <v>1</v>
      </c>
      <c r="AV22">
        <f t="shared" si="15"/>
        <v>1</v>
      </c>
      <c r="AX22">
        <f t="shared" si="16"/>
        <v>3</v>
      </c>
      <c r="AY22">
        <f t="shared" si="17"/>
        <v>0.99</v>
      </c>
      <c r="AZ22">
        <f t="shared" si="18"/>
        <v>1.98</v>
      </c>
      <c r="BA22">
        <f t="shared" si="19"/>
        <v>0</v>
      </c>
      <c r="BB22">
        <f t="shared" si="0"/>
        <v>0</v>
      </c>
      <c r="BC22">
        <f t="shared" si="1"/>
        <v>0</v>
      </c>
      <c r="BD22">
        <f t="shared" si="2"/>
        <v>0</v>
      </c>
      <c r="BE22">
        <f t="shared" si="3"/>
        <v>0</v>
      </c>
      <c r="BF22">
        <f t="shared" si="4"/>
        <v>0</v>
      </c>
      <c r="BG22">
        <f t="shared" si="5"/>
        <v>0</v>
      </c>
      <c r="BH22">
        <f t="shared" si="6"/>
        <v>0</v>
      </c>
      <c r="BI22">
        <f t="shared" si="7"/>
        <v>0</v>
      </c>
      <c r="BJ22">
        <f t="shared" si="20"/>
        <v>0</v>
      </c>
      <c r="BK22">
        <f t="shared" si="21"/>
        <v>1</v>
      </c>
      <c r="BL22">
        <f t="shared" si="22"/>
        <v>10</v>
      </c>
      <c r="BM22">
        <f t="shared" si="23"/>
        <v>6</v>
      </c>
      <c r="BN22">
        <f t="shared" si="8"/>
        <v>0.6</v>
      </c>
      <c r="BO22">
        <f t="shared" si="9"/>
        <v>0.59700000000000009</v>
      </c>
      <c r="BP22" t="e">
        <f t="shared" si="10"/>
        <v>#DIV/0!</v>
      </c>
      <c r="BQ22" t="e">
        <f t="shared" si="11"/>
        <v>#DIV/0!</v>
      </c>
      <c r="BR22" t="str">
        <f t="shared" si="12"/>
        <v>Yes</v>
      </c>
      <c r="BS22" t="str">
        <f t="shared" si="13"/>
        <v>No</v>
      </c>
      <c r="BT22" t="str">
        <f t="shared" si="24"/>
        <v>No</v>
      </c>
      <c r="BU22" s="10" t="s">
        <v>140</v>
      </c>
      <c r="BV22" t="s">
        <v>50</v>
      </c>
      <c r="BW22" t="s">
        <v>229</v>
      </c>
      <c r="BX22">
        <f t="shared" si="14"/>
        <v>7</v>
      </c>
      <c r="BY22">
        <f t="shared" si="25"/>
        <v>3.99</v>
      </c>
      <c r="BZ22">
        <f t="shared" si="26"/>
        <v>3</v>
      </c>
      <c r="CA22">
        <f t="shared" si="27"/>
        <v>1.98</v>
      </c>
      <c r="CB22">
        <f t="shared" si="28"/>
        <v>0.57000000000000006</v>
      </c>
      <c r="CC22">
        <f t="shared" si="29"/>
        <v>0.66</v>
      </c>
      <c r="CD22">
        <f t="shared" si="30"/>
        <v>0.3</v>
      </c>
      <c r="CE22">
        <f t="shared" si="31"/>
        <v>7</v>
      </c>
      <c r="CF22">
        <f t="shared" si="32"/>
        <v>3.99</v>
      </c>
      <c r="CG22">
        <f t="shared" si="33"/>
        <v>3</v>
      </c>
      <c r="CH22">
        <f t="shared" si="34"/>
        <v>1.98</v>
      </c>
      <c r="CI22">
        <f t="shared" si="35"/>
        <v>0</v>
      </c>
      <c r="CJ22">
        <f t="shared" si="36"/>
        <v>0</v>
      </c>
      <c r="CK22">
        <f t="shared" si="37"/>
        <v>0</v>
      </c>
      <c r="CL22">
        <f t="shared" si="38"/>
        <v>0</v>
      </c>
      <c r="CM22">
        <f t="shared" si="39"/>
        <v>0</v>
      </c>
      <c r="CN22">
        <f t="shared" si="40"/>
        <v>0</v>
      </c>
      <c r="CO22">
        <f t="shared" si="41"/>
        <v>0</v>
      </c>
      <c r="CP22">
        <f t="shared" si="42"/>
        <v>0</v>
      </c>
      <c r="CQ22">
        <f t="shared" si="43"/>
        <v>7</v>
      </c>
      <c r="CR22">
        <f t="shared" si="44"/>
        <v>4</v>
      </c>
      <c r="CS22">
        <f t="shared" si="45"/>
        <v>3</v>
      </c>
      <c r="CT22">
        <f t="shared" si="46"/>
        <v>2</v>
      </c>
      <c r="CU22">
        <f t="shared" si="47"/>
        <v>10</v>
      </c>
      <c r="CV22">
        <f t="shared" si="48"/>
        <v>6</v>
      </c>
      <c r="CW22">
        <f t="shared" si="49"/>
        <v>0</v>
      </c>
      <c r="CX22">
        <f t="shared" si="50"/>
        <v>0</v>
      </c>
      <c r="CY22">
        <f t="shared" si="51"/>
        <v>0</v>
      </c>
      <c r="CZ22">
        <f t="shared" si="52"/>
        <v>0</v>
      </c>
      <c r="DA22">
        <f t="shared" si="53"/>
        <v>7</v>
      </c>
      <c r="DB22">
        <f t="shared" si="54"/>
        <v>5</v>
      </c>
      <c r="DC22">
        <f t="shared" si="55"/>
        <v>3</v>
      </c>
      <c r="DD22">
        <f t="shared" si="56"/>
        <v>1</v>
      </c>
      <c r="DE22">
        <f t="shared" si="57"/>
        <v>0</v>
      </c>
      <c r="DF22">
        <f t="shared" si="58"/>
        <v>0</v>
      </c>
      <c r="DG22">
        <f t="shared" si="59"/>
        <v>0</v>
      </c>
      <c r="DH22">
        <f t="shared" si="60"/>
        <v>0</v>
      </c>
      <c r="DI22">
        <f t="shared" si="61"/>
        <v>0</v>
      </c>
      <c r="DJ22">
        <f t="shared" si="62"/>
        <v>0</v>
      </c>
      <c r="DK22">
        <f t="shared" si="63"/>
        <v>0</v>
      </c>
      <c r="DL22">
        <f t="shared" si="64"/>
        <v>0</v>
      </c>
      <c r="DM22">
        <f t="shared" si="65"/>
        <v>7</v>
      </c>
      <c r="DN22">
        <f t="shared" si="66"/>
        <v>5</v>
      </c>
      <c r="DO22">
        <f t="shared" si="67"/>
        <v>3</v>
      </c>
      <c r="DP22">
        <f t="shared" si="68"/>
        <v>1</v>
      </c>
      <c r="DQ22" s="3" t="s">
        <v>291</v>
      </c>
      <c r="DR22" s="3" t="s">
        <v>309</v>
      </c>
      <c r="DS22" s="3" t="s">
        <v>291</v>
      </c>
      <c r="DT22" s="3" t="s">
        <v>308</v>
      </c>
    </row>
    <row r="23" spans="1:124" ht="275.5" x14ac:dyDescent="0.35">
      <c r="A23" s="2" t="s">
        <v>12</v>
      </c>
      <c r="B23" s="2">
        <v>1986</v>
      </c>
      <c r="C23" s="5" t="s">
        <v>173</v>
      </c>
      <c r="D23" s="3" t="s">
        <v>39</v>
      </c>
      <c r="E23" s="3" t="s">
        <v>48</v>
      </c>
      <c r="F23" s="2" t="s">
        <v>60</v>
      </c>
      <c r="G23" s="3" t="s">
        <v>72</v>
      </c>
      <c r="H23" s="2" t="s">
        <v>51</v>
      </c>
      <c r="I23" s="2" t="s">
        <v>70</v>
      </c>
      <c r="J23" s="2" t="s">
        <v>79</v>
      </c>
      <c r="K23" s="2" t="s">
        <v>50</v>
      </c>
      <c r="L23" s="2" t="s">
        <v>114</v>
      </c>
      <c r="M23" s="3" t="s">
        <v>51</v>
      </c>
      <c r="N23" s="2" t="s">
        <v>50</v>
      </c>
      <c r="AE23" s="3">
        <v>0</v>
      </c>
      <c r="AF23" s="3">
        <v>0</v>
      </c>
      <c r="AG23" s="3">
        <v>7</v>
      </c>
      <c r="AH23" s="3">
        <v>6</v>
      </c>
      <c r="AK23" s="3">
        <v>0</v>
      </c>
      <c r="AL23" s="3">
        <v>0.33</v>
      </c>
      <c r="AM23" s="2" t="s">
        <v>50</v>
      </c>
      <c r="AN23" s="3" t="s">
        <v>121</v>
      </c>
      <c r="AO23" s="3" t="str">
        <f t="shared" si="69"/>
        <v>Y</v>
      </c>
      <c r="AP23" s="3" t="s">
        <v>51</v>
      </c>
      <c r="AQ23" s="3" t="s">
        <v>51</v>
      </c>
      <c r="AR23" s="3" t="s">
        <v>51</v>
      </c>
      <c r="AS23" t="s">
        <v>128</v>
      </c>
      <c r="AT23" t="s">
        <v>131</v>
      </c>
      <c r="AU23">
        <v>5</v>
      </c>
      <c r="AV23">
        <f t="shared" si="15"/>
        <v>3</v>
      </c>
      <c r="AX23">
        <f t="shared" si="16"/>
        <v>0</v>
      </c>
      <c r="AY23">
        <f t="shared" si="17"/>
        <v>0</v>
      </c>
      <c r="AZ23">
        <f t="shared" si="18"/>
        <v>0</v>
      </c>
      <c r="BA23">
        <f t="shared" si="19"/>
        <v>0</v>
      </c>
      <c r="BB23">
        <f t="shared" si="0"/>
        <v>0</v>
      </c>
      <c r="BC23">
        <f t="shared" si="1"/>
        <v>0</v>
      </c>
      <c r="BD23">
        <f t="shared" si="2"/>
        <v>0</v>
      </c>
      <c r="BE23">
        <f t="shared" si="3"/>
        <v>0</v>
      </c>
      <c r="BF23">
        <f t="shared" si="4"/>
        <v>0</v>
      </c>
      <c r="BG23">
        <f t="shared" si="5"/>
        <v>0</v>
      </c>
      <c r="BH23">
        <f t="shared" si="6"/>
        <v>0</v>
      </c>
      <c r="BI23">
        <f t="shared" si="7"/>
        <v>1.98</v>
      </c>
      <c r="BJ23">
        <f t="shared" si="20"/>
        <v>2</v>
      </c>
      <c r="BK23">
        <f t="shared" si="21"/>
        <v>1</v>
      </c>
      <c r="BL23">
        <f t="shared" si="22"/>
        <v>13</v>
      </c>
      <c r="BM23">
        <f t="shared" si="23"/>
        <v>2</v>
      </c>
      <c r="BN23">
        <f t="shared" si="8"/>
        <v>0.15384615384615385</v>
      </c>
      <c r="BO23" t="e">
        <f t="shared" si="9"/>
        <v>#DIV/0!</v>
      </c>
      <c r="BP23" t="e">
        <f t="shared" si="10"/>
        <v>#DIV/0!</v>
      </c>
      <c r="BQ23">
        <f t="shared" si="11"/>
        <v>0.15230769230769231</v>
      </c>
      <c r="BR23" t="str">
        <f t="shared" si="12"/>
        <v>No</v>
      </c>
      <c r="BS23" t="str">
        <f t="shared" si="13"/>
        <v>No</v>
      </c>
      <c r="BT23" t="str">
        <f t="shared" si="24"/>
        <v>Yes</v>
      </c>
      <c r="BU23" s="3" t="s">
        <v>36</v>
      </c>
      <c r="BV23" t="s">
        <v>51</v>
      </c>
      <c r="BX23">
        <f t="shared" si="14"/>
        <v>0</v>
      </c>
      <c r="BY23">
        <f t="shared" si="25"/>
        <v>0</v>
      </c>
      <c r="BZ23">
        <f t="shared" si="26"/>
        <v>13</v>
      </c>
      <c r="CA23">
        <f t="shared" si="27"/>
        <v>1.98</v>
      </c>
      <c r="CB23" t="e">
        <f t="shared" si="28"/>
        <v>#DIV/0!</v>
      </c>
      <c r="CC23">
        <f t="shared" si="29"/>
        <v>0.15230769230769231</v>
      </c>
      <c r="CD23">
        <f t="shared" si="30"/>
        <v>1</v>
      </c>
      <c r="CE23">
        <f t="shared" si="31"/>
        <v>0</v>
      </c>
      <c r="CF23">
        <f t="shared" si="32"/>
        <v>0</v>
      </c>
      <c r="CG23">
        <f t="shared" si="33"/>
        <v>0</v>
      </c>
      <c r="CH23">
        <f t="shared" si="34"/>
        <v>0</v>
      </c>
      <c r="CI23">
        <f t="shared" si="35"/>
        <v>0</v>
      </c>
      <c r="CJ23">
        <f t="shared" si="36"/>
        <v>0</v>
      </c>
      <c r="CK23">
        <f t="shared" si="37"/>
        <v>0</v>
      </c>
      <c r="CL23">
        <f t="shared" si="38"/>
        <v>0</v>
      </c>
      <c r="CM23">
        <f t="shared" si="39"/>
        <v>0</v>
      </c>
      <c r="CN23">
        <f t="shared" si="40"/>
        <v>0</v>
      </c>
      <c r="CO23">
        <f t="shared" si="41"/>
        <v>13</v>
      </c>
      <c r="CP23">
        <f t="shared" si="42"/>
        <v>1.98</v>
      </c>
      <c r="CQ23">
        <f t="shared" si="43"/>
        <v>0</v>
      </c>
      <c r="CR23">
        <f t="shared" si="44"/>
        <v>0</v>
      </c>
      <c r="CS23">
        <f t="shared" si="45"/>
        <v>13</v>
      </c>
      <c r="CT23">
        <f t="shared" si="46"/>
        <v>2</v>
      </c>
      <c r="CU23">
        <f t="shared" si="47"/>
        <v>0</v>
      </c>
      <c r="CV23">
        <f t="shared" si="48"/>
        <v>0</v>
      </c>
      <c r="CW23">
        <f t="shared" si="49"/>
        <v>0</v>
      </c>
      <c r="CX23">
        <f t="shared" si="50"/>
        <v>0</v>
      </c>
      <c r="CY23">
        <f t="shared" si="51"/>
        <v>13</v>
      </c>
      <c r="CZ23">
        <f t="shared" si="52"/>
        <v>2</v>
      </c>
      <c r="DA23">
        <f t="shared" si="53"/>
        <v>0</v>
      </c>
      <c r="DB23">
        <f t="shared" si="54"/>
        <v>0</v>
      </c>
      <c r="DC23">
        <f t="shared" si="55"/>
        <v>0</v>
      </c>
      <c r="DD23">
        <f t="shared" si="56"/>
        <v>0</v>
      </c>
      <c r="DE23">
        <f t="shared" si="57"/>
        <v>0</v>
      </c>
      <c r="DF23">
        <f t="shared" si="58"/>
        <v>0</v>
      </c>
      <c r="DG23">
        <f t="shared" si="59"/>
        <v>0</v>
      </c>
      <c r="DH23">
        <f t="shared" si="60"/>
        <v>0</v>
      </c>
      <c r="DI23">
        <f t="shared" si="61"/>
        <v>7</v>
      </c>
      <c r="DJ23">
        <f t="shared" si="62"/>
        <v>0</v>
      </c>
      <c r="DK23">
        <f t="shared" si="63"/>
        <v>6</v>
      </c>
      <c r="DL23">
        <f t="shared" si="64"/>
        <v>2</v>
      </c>
      <c r="DM23">
        <f t="shared" si="65"/>
        <v>7</v>
      </c>
      <c r="DN23">
        <f t="shared" si="66"/>
        <v>0</v>
      </c>
      <c r="DO23">
        <f t="shared" si="67"/>
        <v>6</v>
      </c>
      <c r="DP23">
        <f t="shared" si="68"/>
        <v>2</v>
      </c>
      <c r="DQ23" s="3" t="s">
        <v>291</v>
      </c>
      <c r="DR23" s="3" t="s">
        <v>310</v>
      </c>
      <c r="DS23" s="3" t="s">
        <v>291</v>
      </c>
      <c r="DT23" s="3" t="s">
        <v>311</v>
      </c>
    </row>
    <row r="24" spans="1:124" ht="72.5" x14ac:dyDescent="0.35">
      <c r="A24" s="2" t="s">
        <v>33</v>
      </c>
      <c r="B24" s="2">
        <v>2016</v>
      </c>
      <c r="C24" s="2" t="s">
        <v>172</v>
      </c>
      <c r="D24" s="3" t="s">
        <v>41</v>
      </c>
      <c r="E24" s="3" t="s">
        <v>41</v>
      </c>
      <c r="F24" s="2" t="s">
        <v>45</v>
      </c>
      <c r="G24" s="3" t="s">
        <v>74</v>
      </c>
      <c r="H24" s="2" t="s">
        <v>50</v>
      </c>
      <c r="I24" s="2" t="s">
        <v>77</v>
      </c>
      <c r="J24" s="2" t="s">
        <v>79</v>
      </c>
      <c r="K24" s="2" t="s">
        <v>51</v>
      </c>
      <c r="L24" s="2" t="s">
        <v>112</v>
      </c>
      <c r="M24" s="3" t="s">
        <v>50</v>
      </c>
      <c r="N24" s="2" t="s">
        <v>50</v>
      </c>
      <c r="O24" s="3">
        <v>5</v>
      </c>
      <c r="P24" s="3">
        <v>0</v>
      </c>
      <c r="Q24" s="3">
        <v>0</v>
      </c>
      <c r="R24" s="3">
        <v>0</v>
      </c>
      <c r="S24" s="3">
        <v>0.6</v>
      </c>
      <c r="W24" s="3">
        <v>5</v>
      </c>
      <c r="X24" s="3">
        <v>0</v>
      </c>
      <c r="Y24" s="3">
        <v>0</v>
      </c>
      <c r="Z24" s="3">
        <v>0</v>
      </c>
      <c r="AA24" s="3">
        <v>0.2</v>
      </c>
      <c r="AM24" s="2" t="s">
        <v>51</v>
      </c>
      <c r="AN24" s="3" t="s">
        <v>122</v>
      </c>
      <c r="AO24" s="3" t="str">
        <f t="shared" si="69"/>
        <v>N</v>
      </c>
      <c r="AP24" s="3" t="s">
        <v>51</v>
      </c>
      <c r="AQ24" s="3" t="s">
        <v>51</v>
      </c>
      <c r="AR24" s="3" t="s">
        <v>51</v>
      </c>
      <c r="AS24" t="s">
        <v>128</v>
      </c>
      <c r="AT24" t="s">
        <v>132</v>
      </c>
      <c r="AU24">
        <v>9</v>
      </c>
      <c r="AV24">
        <f t="shared" si="15"/>
        <v>0</v>
      </c>
      <c r="AX24">
        <f t="shared" si="16"/>
        <v>3</v>
      </c>
      <c r="AY24">
        <f t="shared" si="17"/>
        <v>0</v>
      </c>
      <c r="AZ24">
        <f t="shared" si="18"/>
        <v>0</v>
      </c>
      <c r="BA24">
        <f t="shared" si="19"/>
        <v>0</v>
      </c>
      <c r="BB24">
        <f t="shared" si="0"/>
        <v>1</v>
      </c>
      <c r="BC24">
        <f t="shared" si="1"/>
        <v>0</v>
      </c>
      <c r="BD24">
        <f t="shared" si="2"/>
        <v>0</v>
      </c>
      <c r="BE24">
        <f t="shared" si="3"/>
        <v>0</v>
      </c>
      <c r="BF24">
        <f t="shared" si="4"/>
        <v>0</v>
      </c>
      <c r="BG24">
        <f t="shared" si="5"/>
        <v>0</v>
      </c>
      <c r="BH24">
        <f t="shared" si="6"/>
        <v>0</v>
      </c>
      <c r="BI24">
        <f t="shared" si="7"/>
        <v>0</v>
      </c>
      <c r="BJ24">
        <f t="shared" si="20"/>
        <v>0</v>
      </c>
      <c r="BK24">
        <f t="shared" si="21"/>
        <v>0</v>
      </c>
      <c r="BL24">
        <f t="shared" si="22"/>
        <v>5</v>
      </c>
      <c r="BM24">
        <f t="shared" si="23"/>
        <v>3</v>
      </c>
      <c r="BN24">
        <f t="shared" si="8"/>
        <v>0.6</v>
      </c>
      <c r="BO24">
        <f t="shared" si="9"/>
        <v>0.6</v>
      </c>
      <c r="BP24">
        <f t="shared" si="10"/>
        <v>0.2</v>
      </c>
      <c r="BQ24" t="e">
        <f t="shared" si="11"/>
        <v>#DIV/0!</v>
      </c>
      <c r="BR24" t="str">
        <f t="shared" si="12"/>
        <v>Yes</v>
      </c>
      <c r="BS24" t="str">
        <f t="shared" si="13"/>
        <v>Yes</v>
      </c>
      <c r="BT24" t="str">
        <f t="shared" si="24"/>
        <v>No</v>
      </c>
      <c r="BU24" s="3" t="s">
        <v>137</v>
      </c>
      <c r="BV24" t="s">
        <v>51</v>
      </c>
      <c r="BX24">
        <f t="shared" si="14"/>
        <v>10</v>
      </c>
      <c r="BY24">
        <f t="shared" si="25"/>
        <v>4</v>
      </c>
      <c r="BZ24">
        <f t="shared" si="26"/>
        <v>0</v>
      </c>
      <c r="CA24">
        <f t="shared" si="27"/>
        <v>0</v>
      </c>
      <c r="CB24">
        <f t="shared" si="28"/>
        <v>0.4</v>
      </c>
      <c r="CC24" t="e">
        <f t="shared" si="29"/>
        <v>#DIV/0!</v>
      </c>
      <c r="CD24">
        <f t="shared" si="30"/>
        <v>0</v>
      </c>
      <c r="CE24">
        <f t="shared" si="31"/>
        <v>5</v>
      </c>
      <c r="CF24">
        <f t="shared" si="32"/>
        <v>3</v>
      </c>
      <c r="CG24">
        <f t="shared" si="33"/>
        <v>0</v>
      </c>
      <c r="CH24">
        <f t="shared" si="34"/>
        <v>0</v>
      </c>
      <c r="CI24">
        <f t="shared" si="35"/>
        <v>5</v>
      </c>
      <c r="CJ24">
        <f t="shared" si="36"/>
        <v>1</v>
      </c>
      <c r="CK24">
        <f t="shared" si="37"/>
        <v>0</v>
      </c>
      <c r="CL24">
        <f t="shared" si="38"/>
        <v>0</v>
      </c>
      <c r="CM24">
        <f t="shared" si="39"/>
        <v>0</v>
      </c>
      <c r="CN24">
        <f t="shared" si="40"/>
        <v>0</v>
      </c>
      <c r="CO24">
        <f t="shared" si="41"/>
        <v>0</v>
      </c>
      <c r="CP24">
        <f t="shared" si="42"/>
        <v>0</v>
      </c>
      <c r="CQ24">
        <f t="shared" si="43"/>
        <v>5</v>
      </c>
      <c r="CR24">
        <f t="shared" si="44"/>
        <v>3</v>
      </c>
      <c r="CS24">
        <f t="shared" si="45"/>
        <v>0</v>
      </c>
      <c r="CT24">
        <f t="shared" si="46"/>
        <v>0</v>
      </c>
      <c r="CU24">
        <f t="shared" si="47"/>
        <v>5</v>
      </c>
      <c r="CV24">
        <f t="shared" si="48"/>
        <v>3</v>
      </c>
      <c r="CW24">
        <f t="shared" si="49"/>
        <v>5</v>
      </c>
      <c r="CX24">
        <f t="shared" si="50"/>
        <v>1</v>
      </c>
      <c r="CY24">
        <f t="shared" si="51"/>
        <v>0</v>
      </c>
      <c r="CZ24">
        <f t="shared" si="52"/>
        <v>0</v>
      </c>
      <c r="DA24">
        <f t="shared" si="53"/>
        <v>5</v>
      </c>
      <c r="DB24">
        <f t="shared" si="54"/>
        <v>3</v>
      </c>
      <c r="DC24">
        <f t="shared" si="55"/>
        <v>0</v>
      </c>
      <c r="DD24">
        <f t="shared" si="56"/>
        <v>0</v>
      </c>
      <c r="DE24">
        <f t="shared" si="57"/>
        <v>5</v>
      </c>
      <c r="DF24">
        <f t="shared" si="58"/>
        <v>1</v>
      </c>
      <c r="DG24">
        <f t="shared" si="59"/>
        <v>0</v>
      </c>
      <c r="DH24">
        <f t="shared" si="60"/>
        <v>0</v>
      </c>
      <c r="DI24">
        <f t="shared" si="61"/>
        <v>0</v>
      </c>
      <c r="DJ24">
        <f t="shared" si="62"/>
        <v>0</v>
      </c>
      <c r="DK24">
        <f t="shared" si="63"/>
        <v>0</v>
      </c>
      <c r="DL24">
        <f t="shared" si="64"/>
        <v>0</v>
      </c>
      <c r="DM24">
        <f t="shared" si="65"/>
        <v>5</v>
      </c>
      <c r="DN24">
        <f t="shared" si="66"/>
        <v>3</v>
      </c>
      <c r="DO24">
        <f t="shared" si="67"/>
        <v>0</v>
      </c>
      <c r="DP24">
        <f t="shared" si="68"/>
        <v>0</v>
      </c>
      <c r="DQ24" s="3" t="s">
        <v>291</v>
      </c>
      <c r="DR24" s="3" t="s">
        <v>312</v>
      </c>
      <c r="DS24" s="3" t="s">
        <v>290</v>
      </c>
      <c r="DT24" s="3"/>
    </row>
    <row r="25" spans="1:124" ht="43.5" x14ac:dyDescent="0.35">
      <c r="A25" s="2" t="s">
        <v>10</v>
      </c>
      <c r="B25" s="2">
        <v>1980</v>
      </c>
      <c r="C25" s="5" t="s">
        <v>35</v>
      </c>
      <c r="D25" s="3" t="s">
        <v>41</v>
      </c>
      <c r="E25" s="3" t="s">
        <v>41</v>
      </c>
      <c r="F25" s="2" t="s">
        <v>45</v>
      </c>
      <c r="G25" s="3" t="s">
        <v>74</v>
      </c>
      <c r="H25" s="2" t="s">
        <v>50</v>
      </c>
      <c r="I25" s="2" t="s">
        <v>77</v>
      </c>
      <c r="J25" s="2" t="s">
        <v>79</v>
      </c>
      <c r="K25" s="2" t="s">
        <v>51</v>
      </c>
      <c r="L25" s="2" t="s">
        <v>113</v>
      </c>
      <c r="M25" s="3" t="s">
        <v>51</v>
      </c>
      <c r="N25" s="2" t="s">
        <v>50</v>
      </c>
      <c r="O25" s="3">
        <v>3</v>
      </c>
      <c r="P25" s="3">
        <v>0</v>
      </c>
      <c r="Q25" s="3">
        <v>3</v>
      </c>
      <c r="R25" s="3">
        <v>0</v>
      </c>
      <c r="S25" s="3">
        <v>0.33</v>
      </c>
      <c r="U25" s="3">
        <v>0</v>
      </c>
      <c r="W25" s="3">
        <v>3</v>
      </c>
      <c r="X25" s="3">
        <v>0</v>
      </c>
      <c r="Y25" s="3">
        <v>5</v>
      </c>
      <c r="Z25" s="3">
        <v>0</v>
      </c>
      <c r="AA25" s="3">
        <v>0</v>
      </c>
      <c r="AC25" s="3">
        <v>0.6</v>
      </c>
      <c r="AM25" s="2" t="s">
        <v>50</v>
      </c>
      <c r="AN25" s="3" t="s">
        <v>122</v>
      </c>
      <c r="AO25" s="3" t="str">
        <f t="shared" si="69"/>
        <v>N</v>
      </c>
      <c r="AP25" s="3" t="s">
        <v>50</v>
      </c>
      <c r="AQ25" s="3" t="s">
        <v>51</v>
      </c>
      <c r="AR25" s="3" t="s">
        <v>51</v>
      </c>
      <c r="AS25" t="s">
        <v>127</v>
      </c>
      <c r="AT25" t="s">
        <v>131</v>
      </c>
      <c r="AU25">
        <v>5</v>
      </c>
      <c r="AV25">
        <f t="shared" si="15"/>
        <v>2</v>
      </c>
      <c r="AX25">
        <f t="shared" si="16"/>
        <v>0.99</v>
      </c>
      <c r="AY25">
        <f t="shared" si="17"/>
        <v>0</v>
      </c>
      <c r="AZ25">
        <f t="shared" si="18"/>
        <v>0</v>
      </c>
      <c r="BA25">
        <f t="shared" si="19"/>
        <v>0</v>
      </c>
      <c r="BB25">
        <f t="shared" si="0"/>
        <v>0</v>
      </c>
      <c r="BC25">
        <f t="shared" si="1"/>
        <v>0</v>
      </c>
      <c r="BD25">
        <f t="shared" si="2"/>
        <v>3</v>
      </c>
      <c r="BE25">
        <f t="shared" si="3"/>
        <v>0</v>
      </c>
      <c r="BF25">
        <f t="shared" si="4"/>
        <v>0</v>
      </c>
      <c r="BG25">
        <f t="shared" si="5"/>
        <v>0</v>
      </c>
      <c r="BH25">
        <f t="shared" si="6"/>
        <v>0</v>
      </c>
      <c r="BI25">
        <f t="shared" si="7"/>
        <v>0</v>
      </c>
      <c r="BJ25">
        <f t="shared" si="20"/>
        <v>1</v>
      </c>
      <c r="BK25">
        <f t="shared" si="21"/>
        <v>1</v>
      </c>
      <c r="BL25">
        <f t="shared" si="22"/>
        <v>8</v>
      </c>
      <c r="BM25">
        <f t="shared" si="23"/>
        <v>4</v>
      </c>
      <c r="BN25">
        <f t="shared" si="8"/>
        <v>0.5</v>
      </c>
      <c r="BO25">
        <f t="shared" si="9"/>
        <v>0.16500000000000001</v>
      </c>
      <c r="BP25">
        <f t="shared" si="10"/>
        <v>0.375</v>
      </c>
      <c r="BQ25" t="e">
        <f t="shared" si="11"/>
        <v>#DIV/0!</v>
      </c>
      <c r="BR25" t="str">
        <f t="shared" si="12"/>
        <v>Yes</v>
      </c>
      <c r="BS25" t="str">
        <f t="shared" si="13"/>
        <v>Yes</v>
      </c>
      <c r="BT25" t="str">
        <f t="shared" si="24"/>
        <v>No</v>
      </c>
      <c r="BU25" s="3" t="s">
        <v>141</v>
      </c>
      <c r="BV25" t="s">
        <v>51</v>
      </c>
      <c r="BX25">
        <f t="shared" si="14"/>
        <v>6</v>
      </c>
      <c r="BY25">
        <f t="shared" si="25"/>
        <v>0.99</v>
      </c>
      <c r="BZ25">
        <f t="shared" si="26"/>
        <v>8</v>
      </c>
      <c r="CA25">
        <f t="shared" si="27"/>
        <v>3</v>
      </c>
      <c r="CB25">
        <f t="shared" si="28"/>
        <v>0.16500000000000001</v>
      </c>
      <c r="CC25">
        <f t="shared" si="29"/>
        <v>0.375</v>
      </c>
      <c r="CD25">
        <f t="shared" si="30"/>
        <v>0.625</v>
      </c>
      <c r="CE25">
        <f t="shared" si="31"/>
        <v>3</v>
      </c>
      <c r="CF25">
        <f t="shared" si="32"/>
        <v>0.99</v>
      </c>
      <c r="CG25">
        <f t="shared" si="33"/>
        <v>3</v>
      </c>
      <c r="CH25">
        <f t="shared" si="34"/>
        <v>0</v>
      </c>
      <c r="CI25">
        <f t="shared" si="35"/>
        <v>3</v>
      </c>
      <c r="CJ25">
        <f t="shared" si="36"/>
        <v>0</v>
      </c>
      <c r="CK25">
        <f t="shared" si="37"/>
        <v>5</v>
      </c>
      <c r="CL25">
        <f t="shared" si="38"/>
        <v>3</v>
      </c>
      <c r="CM25">
        <f t="shared" si="39"/>
        <v>0</v>
      </c>
      <c r="CN25">
        <f t="shared" si="40"/>
        <v>0</v>
      </c>
      <c r="CO25">
        <f t="shared" si="41"/>
        <v>0</v>
      </c>
      <c r="CP25">
        <f t="shared" si="42"/>
        <v>0</v>
      </c>
      <c r="CQ25">
        <f t="shared" si="43"/>
        <v>3</v>
      </c>
      <c r="CR25">
        <f t="shared" si="44"/>
        <v>1</v>
      </c>
      <c r="CS25">
        <f t="shared" si="45"/>
        <v>5</v>
      </c>
      <c r="CT25">
        <f t="shared" si="46"/>
        <v>3</v>
      </c>
      <c r="CU25">
        <f t="shared" si="47"/>
        <v>6</v>
      </c>
      <c r="CV25">
        <f t="shared" si="48"/>
        <v>1</v>
      </c>
      <c r="CW25">
        <f t="shared" si="49"/>
        <v>8</v>
      </c>
      <c r="CX25">
        <f t="shared" si="50"/>
        <v>3</v>
      </c>
      <c r="CY25">
        <f t="shared" si="51"/>
        <v>0</v>
      </c>
      <c r="CZ25">
        <f t="shared" si="52"/>
        <v>0</v>
      </c>
      <c r="DA25">
        <f t="shared" si="53"/>
        <v>6</v>
      </c>
      <c r="DB25">
        <f t="shared" si="54"/>
        <v>1</v>
      </c>
      <c r="DC25">
        <f t="shared" si="55"/>
        <v>0</v>
      </c>
      <c r="DD25">
        <f t="shared" si="56"/>
        <v>0</v>
      </c>
      <c r="DE25">
        <f t="shared" si="57"/>
        <v>8</v>
      </c>
      <c r="DF25">
        <f t="shared" si="58"/>
        <v>3</v>
      </c>
      <c r="DG25">
        <f t="shared" si="59"/>
        <v>0</v>
      </c>
      <c r="DH25">
        <f t="shared" si="60"/>
        <v>0</v>
      </c>
      <c r="DI25">
        <f t="shared" si="61"/>
        <v>0</v>
      </c>
      <c r="DJ25">
        <f t="shared" si="62"/>
        <v>0</v>
      </c>
      <c r="DK25">
        <f t="shared" si="63"/>
        <v>0</v>
      </c>
      <c r="DL25">
        <f t="shared" si="64"/>
        <v>0</v>
      </c>
      <c r="DM25">
        <f t="shared" si="65"/>
        <v>8</v>
      </c>
      <c r="DN25">
        <f t="shared" si="66"/>
        <v>3</v>
      </c>
      <c r="DO25">
        <f t="shared" si="67"/>
        <v>0</v>
      </c>
      <c r="DP25">
        <f t="shared" si="68"/>
        <v>0</v>
      </c>
      <c r="DQ25" s="3"/>
      <c r="DR25" s="3"/>
      <c r="DS25" s="3"/>
      <c r="DT25" s="3"/>
    </row>
    <row r="26" spans="1:124" ht="72.5" x14ac:dyDescent="0.35">
      <c r="A26" s="2" t="s">
        <v>5</v>
      </c>
      <c r="B26" s="2">
        <v>1971</v>
      </c>
      <c r="C26" s="5" t="s">
        <v>35</v>
      </c>
      <c r="D26" s="3" t="s">
        <v>38</v>
      </c>
      <c r="E26" s="3" t="s">
        <v>41</v>
      </c>
      <c r="F26" s="2" t="s">
        <v>55</v>
      </c>
      <c r="G26" s="3" t="s">
        <v>73</v>
      </c>
      <c r="H26" s="2" t="s">
        <v>51</v>
      </c>
      <c r="I26" s="2" t="s">
        <v>77</v>
      </c>
      <c r="J26" s="2" t="s">
        <v>79</v>
      </c>
      <c r="K26" s="2" t="s">
        <v>50</v>
      </c>
      <c r="L26" s="2" t="s">
        <v>150</v>
      </c>
      <c r="M26" s="3" t="s">
        <v>51</v>
      </c>
      <c r="N26" s="2" t="s">
        <v>50</v>
      </c>
      <c r="O26" s="3">
        <v>29</v>
      </c>
      <c r="P26" s="3">
        <v>47</v>
      </c>
      <c r="Q26" s="3">
        <v>40</v>
      </c>
      <c r="R26" s="3">
        <v>14</v>
      </c>
      <c r="S26" s="3">
        <v>0.14000000000000001</v>
      </c>
      <c r="T26" s="3">
        <v>0.19</v>
      </c>
      <c r="U26" s="3">
        <v>0.37</v>
      </c>
      <c r="V26" s="3">
        <v>0.43</v>
      </c>
      <c r="AM26" s="2" t="s">
        <v>51</v>
      </c>
      <c r="AN26" s="3" t="s">
        <v>121</v>
      </c>
      <c r="AO26" s="3" t="str">
        <f t="shared" si="69"/>
        <v>Y</v>
      </c>
      <c r="AP26" s="3" t="s">
        <v>50</v>
      </c>
      <c r="AQ26" s="3" t="s">
        <v>50</v>
      </c>
      <c r="AR26" s="3" t="s">
        <v>51</v>
      </c>
      <c r="AS26" t="s">
        <v>127</v>
      </c>
      <c r="AT26" t="s">
        <v>130</v>
      </c>
      <c r="AU26">
        <v>3</v>
      </c>
      <c r="AV26">
        <f t="shared" si="15"/>
        <v>4</v>
      </c>
      <c r="AX26">
        <f t="shared" si="16"/>
        <v>4.0600000000000005</v>
      </c>
      <c r="AY26">
        <f t="shared" si="17"/>
        <v>8.93</v>
      </c>
      <c r="AZ26">
        <f t="shared" si="18"/>
        <v>14.8</v>
      </c>
      <c r="BA26">
        <f t="shared" si="19"/>
        <v>6.02</v>
      </c>
      <c r="BB26">
        <f t="shared" si="0"/>
        <v>0</v>
      </c>
      <c r="BC26">
        <f t="shared" si="1"/>
        <v>0</v>
      </c>
      <c r="BD26">
        <f t="shared" si="2"/>
        <v>0</v>
      </c>
      <c r="BE26">
        <f t="shared" si="3"/>
        <v>0</v>
      </c>
      <c r="BF26">
        <f t="shared" si="4"/>
        <v>0</v>
      </c>
      <c r="BG26">
        <f t="shared" si="5"/>
        <v>0</v>
      </c>
      <c r="BH26">
        <f t="shared" si="6"/>
        <v>0</v>
      </c>
      <c r="BI26">
        <f t="shared" si="7"/>
        <v>0</v>
      </c>
      <c r="BJ26">
        <f t="shared" si="20"/>
        <v>1</v>
      </c>
      <c r="BK26">
        <f t="shared" si="21"/>
        <v>3</v>
      </c>
      <c r="BL26">
        <f t="shared" si="22"/>
        <v>130</v>
      </c>
      <c r="BM26">
        <f t="shared" si="23"/>
        <v>34</v>
      </c>
      <c r="BN26">
        <f t="shared" si="8"/>
        <v>0.26153846153846155</v>
      </c>
      <c r="BO26">
        <f t="shared" si="9"/>
        <v>0.26007692307692309</v>
      </c>
      <c r="BP26" t="e">
        <f t="shared" si="10"/>
        <v>#DIV/0!</v>
      </c>
      <c r="BQ26" t="e">
        <f t="shared" si="11"/>
        <v>#DIV/0!</v>
      </c>
      <c r="BR26" t="str">
        <f t="shared" si="12"/>
        <v>Yes</v>
      </c>
      <c r="BS26" t="str">
        <f t="shared" si="13"/>
        <v>No</v>
      </c>
      <c r="BT26" t="str">
        <f t="shared" si="24"/>
        <v>No</v>
      </c>
      <c r="BU26" s="3" t="s">
        <v>36</v>
      </c>
      <c r="BV26" t="s">
        <v>51</v>
      </c>
      <c r="BX26">
        <f t="shared" si="14"/>
        <v>76</v>
      </c>
      <c r="BY26">
        <f t="shared" si="25"/>
        <v>12.99</v>
      </c>
      <c r="BZ26">
        <f t="shared" si="26"/>
        <v>54</v>
      </c>
      <c r="CA26">
        <f t="shared" si="27"/>
        <v>20.82</v>
      </c>
      <c r="CB26">
        <f t="shared" si="28"/>
        <v>0.17092105263157895</v>
      </c>
      <c r="CC26">
        <f t="shared" si="29"/>
        <v>0.38555555555555554</v>
      </c>
      <c r="CD26">
        <f t="shared" si="30"/>
        <v>0.41538461538461541</v>
      </c>
      <c r="CE26">
        <f t="shared" si="31"/>
        <v>76</v>
      </c>
      <c r="CF26">
        <f t="shared" si="32"/>
        <v>12.99</v>
      </c>
      <c r="CG26">
        <f t="shared" si="33"/>
        <v>54</v>
      </c>
      <c r="CH26">
        <f t="shared" si="34"/>
        <v>20.82</v>
      </c>
      <c r="CI26">
        <f t="shared" si="35"/>
        <v>0</v>
      </c>
      <c r="CJ26">
        <f t="shared" si="36"/>
        <v>0</v>
      </c>
      <c r="CK26">
        <f t="shared" si="37"/>
        <v>0</v>
      </c>
      <c r="CL26">
        <f t="shared" si="38"/>
        <v>0</v>
      </c>
      <c r="CM26">
        <f t="shared" si="39"/>
        <v>0</v>
      </c>
      <c r="CN26">
        <f t="shared" si="40"/>
        <v>0</v>
      </c>
      <c r="CO26">
        <f t="shared" si="41"/>
        <v>0</v>
      </c>
      <c r="CP26">
        <f t="shared" si="42"/>
        <v>0</v>
      </c>
      <c r="CQ26">
        <f t="shared" si="43"/>
        <v>76</v>
      </c>
      <c r="CR26">
        <f t="shared" si="44"/>
        <v>13</v>
      </c>
      <c r="CS26">
        <f t="shared" si="45"/>
        <v>54</v>
      </c>
      <c r="CT26">
        <f t="shared" si="46"/>
        <v>21</v>
      </c>
      <c r="CU26">
        <f t="shared" si="47"/>
        <v>130</v>
      </c>
      <c r="CV26">
        <f t="shared" si="48"/>
        <v>34</v>
      </c>
      <c r="CW26">
        <f t="shared" si="49"/>
        <v>0</v>
      </c>
      <c r="CX26">
        <f t="shared" si="50"/>
        <v>0</v>
      </c>
      <c r="CY26">
        <f t="shared" si="51"/>
        <v>0</v>
      </c>
      <c r="CZ26">
        <f t="shared" si="52"/>
        <v>0</v>
      </c>
      <c r="DA26">
        <f t="shared" si="53"/>
        <v>69</v>
      </c>
      <c r="DB26">
        <f t="shared" si="54"/>
        <v>19</v>
      </c>
      <c r="DC26">
        <f t="shared" si="55"/>
        <v>61</v>
      </c>
      <c r="DD26">
        <f t="shared" si="56"/>
        <v>15</v>
      </c>
      <c r="DE26">
        <f t="shared" si="57"/>
        <v>0</v>
      </c>
      <c r="DF26">
        <f t="shared" si="58"/>
        <v>0</v>
      </c>
      <c r="DG26">
        <f t="shared" si="59"/>
        <v>0</v>
      </c>
      <c r="DH26">
        <f t="shared" si="60"/>
        <v>0</v>
      </c>
      <c r="DI26">
        <f t="shared" si="61"/>
        <v>0</v>
      </c>
      <c r="DJ26">
        <f t="shared" si="62"/>
        <v>0</v>
      </c>
      <c r="DK26">
        <f t="shared" si="63"/>
        <v>0</v>
      </c>
      <c r="DL26">
        <f t="shared" si="64"/>
        <v>0</v>
      </c>
      <c r="DM26">
        <f t="shared" si="65"/>
        <v>69</v>
      </c>
      <c r="DN26">
        <f t="shared" si="66"/>
        <v>19</v>
      </c>
      <c r="DO26">
        <f t="shared" si="67"/>
        <v>61</v>
      </c>
      <c r="DP26">
        <f t="shared" si="68"/>
        <v>15</v>
      </c>
      <c r="DQ26" s="3"/>
      <c r="DR26" s="3"/>
      <c r="DS26" s="3"/>
      <c r="DT26" s="3"/>
    </row>
    <row r="27" spans="1:124" ht="362.5" x14ac:dyDescent="0.35">
      <c r="A27" s="2" t="s">
        <v>210</v>
      </c>
      <c r="B27" s="2">
        <v>1974</v>
      </c>
      <c r="C27" s="5" t="s">
        <v>35</v>
      </c>
      <c r="D27" s="3" t="s">
        <v>38</v>
      </c>
      <c r="E27" s="3" t="s">
        <v>41</v>
      </c>
      <c r="F27" s="2" t="s">
        <v>55</v>
      </c>
      <c r="G27" s="3" t="s">
        <v>73</v>
      </c>
      <c r="H27" s="2" t="s">
        <v>51</v>
      </c>
      <c r="I27" s="2" t="s">
        <v>77</v>
      </c>
      <c r="J27" s="2" t="s">
        <v>79</v>
      </c>
      <c r="K27" s="2" t="s">
        <v>50</v>
      </c>
      <c r="L27" s="2" t="s">
        <v>113</v>
      </c>
      <c r="M27" s="3" t="s">
        <v>50</v>
      </c>
      <c r="N27" s="2" t="s">
        <v>50</v>
      </c>
      <c r="O27" s="3">
        <v>8</v>
      </c>
      <c r="P27" s="3">
        <v>0</v>
      </c>
      <c r="Q27" s="3">
        <v>11</v>
      </c>
      <c r="R27" s="3">
        <v>0</v>
      </c>
      <c r="S27" s="3">
        <v>0.88</v>
      </c>
      <c r="U27" s="3">
        <v>0.36</v>
      </c>
      <c r="AM27" s="2" t="s">
        <v>51</v>
      </c>
      <c r="AN27" s="3" t="s">
        <v>122</v>
      </c>
      <c r="AO27" s="3" t="str">
        <f t="shared" si="69"/>
        <v>N</v>
      </c>
      <c r="AP27" s="3" t="s">
        <v>51</v>
      </c>
      <c r="AQ27" s="3" t="s">
        <v>50</v>
      </c>
      <c r="AR27" s="3" t="s">
        <v>51</v>
      </c>
      <c r="AS27" t="s">
        <v>127</v>
      </c>
      <c r="AT27" t="s">
        <v>130</v>
      </c>
      <c r="AU27">
        <v>2</v>
      </c>
      <c r="AV27">
        <f t="shared" si="15"/>
        <v>2</v>
      </c>
      <c r="AX27">
        <f t="shared" si="16"/>
        <v>7.04</v>
      </c>
      <c r="AY27">
        <f t="shared" si="17"/>
        <v>0</v>
      </c>
      <c r="AZ27">
        <f t="shared" si="18"/>
        <v>3.96</v>
      </c>
      <c r="BA27">
        <f t="shared" si="19"/>
        <v>0</v>
      </c>
      <c r="BB27">
        <f t="shared" si="0"/>
        <v>0</v>
      </c>
      <c r="BC27">
        <f t="shared" si="1"/>
        <v>0</v>
      </c>
      <c r="BD27">
        <f t="shared" si="2"/>
        <v>0</v>
      </c>
      <c r="BE27">
        <f t="shared" si="3"/>
        <v>0</v>
      </c>
      <c r="BF27">
        <f t="shared" si="4"/>
        <v>0</v>
      </c>
      <c r="BG27">
        <f t="shared" si="5"/>
        <v>0</v>
      </c>
      <c r="BH27">
        <f t="shared" si="6"/>
        <v>0</v>
      </c>
      <c r="BI27">
        <f t="shared" si="7"/>
        <v>0</v>
      </c>
      <c r="BJ27">
        <f t="shared" si="20"/>
        <v>1</v>
      </c>
      <c r="BK27">
        <f t="shared" si="21"/>
        <v>1</v>
      </c>
      <c r="BL27">
        <f t="shared" si="22"/>
        <v>19</v>
      </c>
      <c r="BM27">
        <f t="shared" si="23"/>
        <v>11</v>
      </c>
      <c r="BN27">
        <f t="shared" si="8"/>
        <v>0.57894736842105265</v>
      </c>
      <c r="BO27">
        <f t="shared" si="9"/>
        <v>0.57894736842105265</v>
      </c>
      <c r="BP27" t="e">
        <f t="shared" si="10"/>
        <v>#DIV/0!</v>
      </c>
      <c r="BQ27" t="e">
        <f t="shared" si="11"/>
        <v>#DIV/0!</v>
      </c>
      <c r="BR27" t="str">
        <f t="shared" si="12"/>
        <v>Yes</v>
      </c>
      <c r="BS27" t="str">
        <f t="shared" si="13"/>
        <v>No</v>
      </c>
      <c r="BT27" t="str">
        <f t="shared" si="24"/>
        <v>No</v>
      </c>
      <c r="BU27" t="e">
        <f>SUM(AJ27="Y",BL27="Y",BO27="Y",BP27="Y",BN27="Y")</f>
        <v>#DIV/0!</v>
      </c>
      <c r="BV27" t="s">
        <v>50</v>
      </c>
      <c r="BW27" t="s">
        <v>228</v>
      </c>
      <c r="BX27">
        <f t="shared" si="14"/>
        <v>8</v>
      </c>
      <c r="BY27">
        <f t="shared" si="25"/>
        <v>7.04</v>
      </c>
      <c r="BZ27">
        <f t="shared" si="26"/>
        <v>11</v>
      </c>
      <c r="CA27">
        <f t="shared" si="27"/>
        <v>3.96</v>
      </c>
      <c r="CB27">
        <f t="shared" si="28"/>
        <v>0.88</v>
      </c>
      <c r="CC27">
        <f t="shared" si="29"/>
        <v>0.36</v>
      </c>
      <c r="CD27">
        <f t="shared" si="30"/>
        <v>0.57894736842105265</v>
      </c>
      <c r="CE27">
        <f t="shared" si="31"/>
        <v>8</v>
      </c>
      <c r="CF27">
        <f t="shared" si="32"/>
        <v>7.04</v>
      </c>
      <c r="CG27">
        <f t="shared" si="33"/>
        <v>11</v>
      </c>
      <c r="CH27">
        <f t="shared" si="34"/>
        <v>3.96</v>
      </c>
      <c r="CI27">
        <f t="shared" si="35"/>
        <v>0</v>
      </c>
      <c r="CJ27">
        <f t="shared" si="36"/>
        <v>0</v>
      </c>
      <c r="CK27">
        <f t="shared" si="37"/>
        <v>0</v>
      </c>
      <c r="CL27">
        <f t="shared" si="38"/>
        <v>0</v>
      </c>
      <c r="CM27">
        <f t="shared" si="39"/>
        <v>0</v>
      </c>
      <c r="CN27">
        <f t="shared" si="40"/>
        <v>0</v>
      </c>
      <c r="CO27">
        <f t="shared" si="41"/>
        <v>0</v>
      </c>
      <c r="CP27">
        <f t="shared" si="42"/>
        <v>0</v>
      </c>
      <c r="CQ27">
        <f t="shared" si="43"/>
        <v>8</v>
      </c>
      <c r="CR27">
        <f t="shared" si="44"/>
        <v>7</v>
      </c>
      <c r="CS27">
        <f t="shared" si="45"/>
        <v>11</v>
      </c>
      <c r="CT27">
        <f t="shared" si="46"/>
        <v>4</v>
      </c>
      <c r="CU27">
        <f t="shared" si="47"/>
        <v>19</v>
      </c>
      <c r="CV27">
        <f t="shared" si="48"/>
        <v>11</v>
      </c>
      <c r="CW27">
        <f t="shared" si="49"/>
        <v>0</v>
      </c>
      <c r="CX27">
        <f t="shared" si="50"/>
        <v>0</v>
      </c>
      <c r="CY27">
        <f t="shared" si="51"/>
        <v>0</v>
      </c>
      <c r="CZ27">
        <f t="shared" si="52"/>
        <v>0</v>
      </c>
      <c r="DA27">
        <f t="shared" si="53"/>
        <v>19</v>
      </c>
      <c r="DB27">
        <f t="shared" si="54"/>
        <v>11</v>
      </c>
      <c r="DC27">
        <f t="shared" si="55"/>
        <v>0</v>
      </c>
      <c r="DD27">
        <f t="shared" si="56"/>
        <v>0</v>
      </c>
      <c r="DE27">
        <f t="shared" si="57"/>
        <v>0</v>
      </c>
      <c r="DF27">
        <f t="shared" si="58"/>
        <v>0</v>
      </c>
      <c r="DG27">
        <f t="shared" si="59"/>
        <v>0</v>
      </c>
      <c r="DH27">
        <f t="shared" si="60"/>
        <v>0</v>
      </c>
      <c r="DI27">
        <f t="shared" si="61"/>
        <v>0</v>
      </c>
      <c r="DJ27">
        <f t="shared" si="62"/>
        <v>0</v>
      </c>
      <c r="DK27">
        <f t="shared" si="63"/>
        <v>0</v>
      </c>
      <c r="DL27">
        <f t="shared" si="64"/>
        <v>0</v>
      </c>
      <c r="DM27">
        <f t="shared" si="65"/>
        <v>19</v>
      </c>
      <c r="DN27">
        <f t="shared" si="66"/>
        <v>11</v>
      </c>
      <c r="DO27">
        <f t="shared" si="67"/>
        <v>0</v>
      </c>
      <c r="DP27">
        <f t="shared" si="68"/>
        <v>0</v>
      </c>
      <c r="DQ27" s="3" t="s">
        <v>290</v>
      </c>
      <c r="DR27" s="3"/>
      <c r="DS27" s="3" t="s">
        <v>287</v>
      </c>
      <c r="DT27" s="3" t="s">
        <v>313</v>
      </c>
    </row>
    <row r="28" spans="1:124" ht="29" x14ac:dyDescent="0.35">
      <c r="A28" s="2" t="s">
        <v>8</v>
      </c>
      <c r="B28" s="2">
        <v>1977</v>
      </c>
      <c r="C28" s="5" t="s">
        <v>35</v>
      </c>
      <c r="D28" s="3" t="s">
        <v>38</v>
      </c>
      <c r="E28" s="3" t="s">
        <v>41</v>
      </c>
      <c r="F28" s="2" t="s">
        <v>57</v>
      </c>
      <c r="G28" s="3" t="s">
        <v>73</v>
      </c>
      <c r="H28" s="2" t="s">
        <v>51</v>
      </c>
      <c r="I28" s="2" t="s">
        <v>77</v>
      </c>
      <c r="J28" s="2" t="s">
        <v>79</v>
      </c>
      <c r="K28" s="2" t="s">
        <v>51</v>
      </c>
      <c r="L28" s="2" t="s">
        <v>112</v>
      </c>
      <c r="M28" s="3" t="s">
        <v>51</v>
      </c>
      <c r="N28" s="2" t="s">
        <v>50</v>
      </c>
      <c r="O28" s="3">
        <v>1</v>
      </c>
      <c r="P28" s="3">
        <v>0</v>
      </c>
      <c r="Q28" s="3">
        <v>0</v>
      </c>
      <c r="R28" s="3">
        <v>0</v>
      </c>
      <c r="S28" s="3">
        <v>1</v>
      </c>
      <c r="AM28" s="2" t="s">
        <v>51</v>
      </c>
      <c r="AN28" s="3" t="s">
        <v>120</v>
      </c>
      <c r="AO28" s="3" t="str">
        <f t="shared" si="69"/>
        <v>N</v>
      </c>
      <c r="AP28" s="3" t="s">
        <v>51</v>
      </c>
      <c r="AQ28" s="3" t="s">
        <v>50</v>
      </c>
      <c r="AR28" s="3" t="s">
        <v>51</v>
      </c>
      <c r="AS28" t="s">
        <v>127</v>
      </c>
      <c r="AT28" t="s">
        <v>130</v>
      </c>
      <c r="AU28">
        <v>1</v>
      </c>
      <c r="AV28">
        <f t="shared" si="15"/>
        <v>1</v>
      </c>
      <c r="AX28">
        <f t="shared" si="16"/>
        <v>1</v>
      </c>
      <c r="AY28">
        <f t="shared" si="17"/>
        <v>0</v>
      </c>
      <c r="AZ28">
        <f t="shared" si="18"/>
        <v>0</v>
      </c>
      <c r="BA28">
        <f t="shared" si="19"/>
        <v>0</v>
      </c>
      <c r="BB28">
        <f t="shared" si="0"/>
        <v>0</v>
      </c>
      <c r="BC28">
        <f t="shared" si="1"/>
        <v>0</v>
      </c>
      <c r="BD28">
        <f t="shared" si="2"/>
        <v>0</v>
      </c>
      <c r="BE28">
        <f t="shared" si="3"/>
        <v>0</v>
      </c>
      <c r="BF28">
        <f t="shared" si="4"/>
        <v>0</v>
      </c>
      <c r="BG28">
        <f t="shared" si="5"/>
        <v>0</v>
      </c>
      <c r="BH28">
        <f t="shared" si="6"/>
        <v>0</v>
      </c>
      <c r="BI28">
        <f t="shared" si="7"/>
        <v>0</v>
      </c>
      <c r="BJ28">
        <f t="shared" si="20"/>
        <v>0</v>
      </c>
      <c r="BK28">
        <f t="shared" si="21"/>
        <v>1</v>
      </c>
      <c r="BL28">
        <f t="shared" si="22"/>
        <v>1</v>
      </c>
      <c r="BM28">
        <f t="shared" si="23"/>
        <v>1</v>
      </c>
      <c r="BN28">
        <f t="shared" si="8"/>
        <v>1</v>
      </c>
      <c r="BO28">
        <f t="shared" si="9"/>
        <v>1</v>
      </c>
      <c r="BP28" t="e">
        <f t="shared" si="10"/>
        <v>#DIV/0!</v>
      </c>
      <c r="BQ28" t="e">
        <f t="shared" si="11"/>
        <v>#DIV/0!</v>
      </c>
      <c r="BR28" t="str">
        <f t="shared" si="12"/>
        <v>Yes</v>
      </c>
      <c r="BS28" t="str">
        <f t="shared" si="13"/>
        <v>No</v>
      </c>
      <c r="BT28" t="str">
        <f t="shared" si="24"/>
        <v>No</v>
      </c>
      <c r="BU28" s="3" t="s">
        <v>36</v>
      </c>
      <c r="BV28" t="s">
        <v>51</v>
      </c>
      <c r="BX28">
        <f t="shared" si="14"/>
        <v>1</v>
      </c>
      <c r="BY28">
        <f t="shared" si="25"/>
        <v>1</v>
      </c>
      <c r="BZ28">
        <f t="shared" si="26"/>
        <v>0</v>
      </c>
      <c r="CA28">
        <f t="shared" si="27"/>
        <v>0</v>
      </c>
      <c r="CB28">
        <f t="shared" si="28"/>
        <v>1</v>
      </c>
      <c r="CC28" t="e">
        <f t="shared" si="29"/>
        <v>#DIV/0!</v>
      </c>
      <c r="CD28">
        <f t="shared" si="30"/>
        <v>0</v>
      </c>
      <c r="CE28">
        <f t="shared" si="31"/>
        <v>1</v>
      </c>
      <c r="CF28">
        <f t="shared" si="32"/>
        <v>1</v>
      </c>
      <c r="CG28">
        <f t="shared" si="33"/>
        <v>0</v>
      </c>
      <c r="CH28">
        <f t="shared" si="34"/>
        <v>0</v>
      </c>
      <c r="CI28">
        <f t="shared" si="35"/>
        <v>0</v>
      </c>
      <c r="CJ28">
        <f t="shared" si="36"/>
        <v>0</v>
      </c>
      <c r="CK28">
        <f t="shared" si="37"/>
        <v>0</v>
      </c>
      <c r="CL28">
        <f t="shared" si="38"/>
        <v>0</v>
      </c>
      <c r="CM28">
        <f t="shared" si="39"/>
        <v>0</v>
      </c>
      <c r="CN28">
        <f t="shared" si="40"/>
        <v>0</v>
      </c>
      <c r="CO28">
        <f t="shared" si="41"/>
        <v>0</v>
      </c>
      <c r="CP28">
        <f t="shared" si="42"/>
        <v>0</v>
      </c>
      <c r="CQ28">
        <f t="shared" si="43"/>
        <v>1</v>
      </c>
      <c r="CR28">
        <f t="shared" si="44"/>
        <v>1</v>
      </c>
      <c r="CS28">
        <f t="shared" si="45"/>
        <v>0</v>
      </c>
      <c r="CT28">
        <f t="shared" si="46"/>
        <v>0</v>
      </c>
      <c r="CU28">
        <f t="shared" si="47"/>
        <v>1</v>
      </c>
      <c r="CV28">
        <f t="shared" si="48"/>
        <v>1</v>
      </c>
      <c r="CW28">
        <f t="shared" si="49"/>
        <v>0</v>
      </c>
      <c r="CX28">
        <f t="shared" si="50"/>
        <v>0</v>
      </c>
      <c r="CY28">
        <f t="shared" si="51"/>
        <v>0</v>
      </c>
      <c r="CZ28">
        <f t="shared" si="52"/>
        <v>0</v>
      </c>
      <c r="DA28">
        <f t="shared" si="53"/>
        <v>1</v>
      </c>
      <c r="DB28">
        <f t="shared" si="54"/>
        <v>1</v>
      </c>
      <c r="DC28">
        <f t="shared" si="55"/>
        <v>0</v>
      </c>
      <c r="DD28">
        <f t="shared" si="56"/>
        <v>0</v>
      </c>
      <c r="DE28">
        <f t="shared" si="57"/>
        <v>0</v>
      </c>
      <c r="DF28">
        <f t="shared" si="58"/>
        <v>0</v>
      </c>
      <c r="DG28">
        <f t="shared" si="59"/>
        <v>0</v>
      </c>
      <c r="DH28">
        <f t="shared" si="60"/>
        <v>0</v>
      </c>
      <c r="DI28">
        <f t="shared" si="61"/>
        <v>0</v>
      </c>
      <c r="DJ28">
        <f t="shared" si="62"/>
        <v>0</v>
      </c>
      <c r="DK28">
        <f t="shared" si="63"/>
        <v>0</v>
      </c>
      <c r="DL28">
        <f t="shared" si="64"/>
        <v>0</v>
      </c>
      <c r="DM28">
        <f t="shared" si="65"/>
        <v>1</v>
      </c>
      <c r="DN28">
        <f t="shared" si="66"/>
        <v>1</v>
      </c>
      <c r="DO28">
        <f t="shared" si="67"/>
        <v>0</v>
      </c>
      <c r="DP28">
        <f t="shared" si="68"/>
        <v>0</v>
      </c>
      <c r="DQ28" s="3" t="s">
        <v>290</v>
      </c>
      <c r="DR28" s="3"/>
      <c r="DS28" s="3" t="s">
        <v>290</v>
      </c>
      <c r="DT28" s="3"/>
    </row>
    <row r="29" spans="1:124" ht="43.5" x14ac:dyDescent="0.35">
      <c r="A29" s="2" t="s">
        <v>30</v>
      </c>
      <c r="B29" s="2">
        <v>2013</v>
      </c>
      <c r="C29" s="5" t="s">
        <v>172</v>
      </c>
      <c r="D29" s="3" t="s">
        <v>42</v>
      </c>
      <c r="E29" s="3" t="s">
        <v>42</v>
      </c>
      <c r="F29" s="2" t="s">
        <v>45</v>
      </c>
      <c r="G29" s="3" t="s">
        <v>74</v>
      </c>
      <c r="H29" s="2" t="s">
        <v>50</v>
      </c>
      <c r="I29" s="2" t="s">
        <v>77</v>
      </c>
      <c r="J29" s="2" t="s">
        <v>79</v>
      </c>
      <c r="K29" s="2" t="s">
        <v>51</v>
      </c>
      <c r="L29" s="2" t="s">
        <v>112</v>
      </c>
      <c r="M29" s="3" t="s">
        <v>51</v>
      </c>
      <c r="N29" s="2" t="s">
        <v>50</v>
      </c>
      <c r="O29" s="3">
        <v>12</v>
      </c>
      <c r="P29" s="3">
        <v>0</v>
      </c>
      <c r="Q29" s="3">
        <v>0</v>
      </c>
      <c r="R29" s="3">
        <v>0</v>
      </c>
      <c r="S29" s="3">
        <v>0</v>
      </c>
      <c r="W29" s="3">
        <v>12</v>
      </c>
      <c r="X29" s="3">
        <v>0</v>
      </c>
      <c r="Y29" s="3">
        <v>0</v>
      </c>
      <c r="Z29" s="3">
        <v>0</v>
      </c>
      <c r="AA29" s="3">
        <v>0</v>
      </c>
      <c r="AE29" s="3">
        <v>12</v>
      </c>
      <c r="AF29" s="3">
        <v>0</v>
      </c>
      <c r="AG29" s="3">
        <v>0</v>
      </c>
      <c r="AH29" s="3">
        <v>0</v>
      </c>
      <c r="AI29" s="3">
        <v>1</v>
      </c>
      <c r="AM29" s="2" t="s">
        <v>51</v>
      </c>
      <c r="AN29" s="3" t="s">
        <v>122</v>
      </c>
      <c r="AO29" s="3" t="str">
        <f t="shared" si="69"/>
        <v>N</v>
      </c>
      <c r="AP29" s="3" t="s">
        <v>51</v>
      </c>
      <c r="AQ29" s="3" t="s">
        <v>50</v>
      </c>
      <c r="AR29" s="3" t="s">
        <v>51</v>
      </c>
      <c r="AS29" t="s">
        <v>128</v>
      </c>
      <c r="AT29" t="s">
        <v>132</v>
      </c>
      <c r="AU29">
        <v>0</v>
      </c>
      <c r="AV29">
        <f t="shared" si="15"/>
        <v>1</v>
      </c>
      <c r="AX29">
        <f t="shared" si="16"/>
        <v>0</v>
      </c>
      <c r="AY29">
        <f t="shared" si="17"/>
        <v>0</v>
      </c>
      <c r="AZ29">
        <f t="shared" si="18"/>
        <v>0</v>
      </c>
      <c r="BA29">
        <f t="shared" si="19"/>
        <v>0</v>
      </c>
      <c r="BB29">
        <f t="shared" si="0"/>
        <v>0</v>
      </c>
      <c r="BC29">
        <f t="shared" si="1"/>
        <v>0</v>
      </c>
      <c r="BD29">
        <f t="shared" si="2"/>
        <v>0</v>
      </c>
      <c r="BE29">
        <f t="shared" si="3"/>
        <v>0</v>
      </c>
      <c r="BF29">
        <f t="shared" si="4"/>
        <v>12</v>
      </c>
      <c r="BG29">
        <f t="shared" si="5"/>
        <v>0</v>
      </c>
      <c r="BH29">
        <f t="shared" si="6"/>
        <v>0</v>
      </c>
      <c r="BI29">
        <f t="shared" si="7"/>
        <v>0</v>
      </c>
      <c r="BJ29">
        <f t="shared" si="20"/>
        <v>0</v>
      </c>
      <c r="BK29">
        <f t="shared" si="21"/>
        <v>1</v>
      </c>
      <c r="BL29">
        <f t="shared" si="22"/>
        <v>12</v>
      </c>
      <c r="BM29">
        <f t="shared" si="23"/>
        <v>12</v>
      </c>
      <c r="BN29">
        <f t="shared" si="8"/>
        <v>1</v>
      </c>
      <c r="BO29">
        <f t="shared" si="9"/>
        <v>0</v>
      </c>
      <c r="BP29">
        <f t="shared" si="10"/>
        <v>0</v>
      </c>
      <c r="BQ29">
        <f t="shared" si="11"/>
        <v>1</v>
      </c>
      <c r="BR29" t="str">
        <f t="shared" si="12"/>
        <v>Yes</v>
      </c>
      <c r="BS29" t="str">
        <f t="shared" si="13"/>
        <v>Yes</v>
      </c>
      <c r="BT29" t="str">
        <f t="shared" si="24"/>
        <v>Yes</v>
      </c>
      <c r="BU29" s="3" t="s">
        <v>36</v>
      </c>
      <c r="BV29" t="s">
        <v>51</v>
      </c>
      <c r="BX29">
        <f t="shared" si="14"/>
        <v>36</v>
      </c>
      <c r="BY29">
        <f t="shared" si="25"/>
        <v>12</v>
      </c>
      <c r="BZ29">
        <f t="shared" si="26"/>
        <v>0</v>
      </c>
      <c r="CA29">
        <f t="shared" si="27"/>
        <v>0</v>
      </c>
      <c r="CB29">
        <f t="shared" si="28"/>
        <v>0.33333333333333331</v>
      </c>
      <c r="CC29" t="e">
        <f t="shared" si="29"/>
        <v>#DIV/0!</v>
      </c>
      <c r="CD29">
        <f t="shared" si="30"/>
        <v>0</v>
      </c>
      <c r="CE29">
        <f t="shared" si="31"/>
        <v>12</v>
      </c>
      <c r="CF29">
        <f t="shared" si="32"/>
        <v>0</v>
      </c>
      <c r="CG29">
        <f t="shared" si="33"/>
        <v>0</v>
      </c>
      <c r="CH29">
        <f t="shared" si="34"/>
        <v>0</v>
      </c>
      <c r="CI29">
        <f t="shared" si="35"/>
        <v>12</v>
      </c>
      <c r="CJ29">
        <f t="shared" si="36"/>
        <v>0</v>
      </c>
      <c r="CK29">
        <f t="shared" si="37"/>
        <v>0</v>
      </c>
      <c r="CL29">
        <f t="shared" si="38"/>
        <v>0</v>
      </c>
      <c r="CM29">
        <f t="shared" si="39"/>
        <v>12</v>
      </c>
      <c r="CN29">
        <f t="shared" si="40"/>
        <v>12</v>
      </c>
      <c r="CO29">
        <f t="shared" si="41"/>
        <v>0</v>
      </c>
      <c r="CP29">
        <f t="shared" si="42"/>
        <v>0</v>
      </c>
      <c r="CQ29">
        <f t="shared" si="43"/>
        <v>12</v>
      </c>
      <c r="CR29">
        <f t="shared" si="44"/>
        <v>12</v>
      </c>
      <c r="CS29">
        <f t="shared" si="45"/>
        <v>0</v>
      </c>
      <c r="CT29">
        <f t="shared" si="46"/>
        <v>0</v>
      </c>
      <c r="CU29">
        <f t="shared" si="47"/>
        <v>12</v>
      </c>
      <c r="CV29">
        <f t="shared" si="48"/>
        <v>0</v>
      </c>
      <c r="CW29">
        <f t="shared" si="49"/>
        <v>12</v>
      </c>
      <c r="CX29">
        <f t="shared" si="50"/>
        <v>0</v>
      </c>
      <c r="CY29">
        <f t="shared" si="51"/>
        <v>12</v>
      </c>
      <c r="CZ29">
        <f t="shared" si="52"/>
        <v>12</v>
      </c>
      <c r="DA29">
        <f t="shared" si="53"/>
        <v>12</v>
      </c>
      <c r="DB29">
        <f t="shared" si="54"/>
        <v>0</v>
      </c>
      <c r="DC29">
        <f t="shared" si="55"/>
        <v>0</v>
      </c>
      <c r="DD29">
        <f t="shared" si="56"/>
        <v>0</v>
      </c>
      <c r="DE29">
        <f t="shared" si="57"/>
        <v>12</v>
      </c>
      <c r="DF29">
        <f t="shared" si="58"/>
        <v>0</v>
      </c>
      <c r="DG29">
        <f t="shared" si="59"/>
        <v>0</v>
      </c>
      <c r="DH29">
        <f t="shared" si="60"/>
        <v>0</v>
      </c>
      <c r="DI29">
        <f t="shared" si="61"/>
        <v>12</v>
      </c>
      <c r="DJ29">
        <f t="shared" si="62"/>
        <v>12</v>
      </c>
      <c r="DK29">
        <f t="shared" si="63"/>
        <v>0</v>
      </c>
      <c r="DL29">
        <f t="shared" si="64"/>
        <v>0</v>
      </c>
      <c r="DM29">
        <f t="shared" si="65"/>
        <v>12</v>
      </c>
      <c r="DN29">
        <f t="shared" si="66"/>
        <v>12</v>
      </c>
      <c r="DO29">
        <f t="shared" si="67"/>
        <v>0</v>
      </c>
      <c r="DP29">
        <f t="shared" si="68"/>
        <v>0</v>
      </c>
      <c r="DQ29" s="3" t="s">
        <v>290</v>
      </c>
      <c r="DR29" s="3"/>
      <c r="DS29" s="3" t="s">
        <v>290</v>
      </c>
      <c r="DT29" s="3"/>
    </row>
    <row r="30" spans="1:124" ht="409.5" x14ac:dyDescent="0.35">
      <c r="A30" s="2" t="s">
        <v>4</v>
      </c>
      <c r="B30" s="2">
        <v>1964</v>
      </c>
      <c r="C30" s="5" t="s">
        <v>35</v>
      </c>
      <c r="D30" s="3" t="s">
        <v>38</v>
      </c>
      <c r="E30" s="3" t="s">
        <v>41</v>
      </c>
      <c r="F30" s="2" t="s">
        <v>54</v>
      </c>
      <c r="G30" s="3" t="s">
        <v>72</v>
      </c>
      <c r="H30" s="2" t="s">
        <v>51</v>
      </c>
      <c r="I30" s="2" t="s">
        <v>77</v>
      </c>
      <c r="J30" s="2" t="s">
        <v>79</v>
      </c>
      <c r="K30" s="2" t="s">
        <v>50</v>
      </c>
      <c r="L30" s="2" t="s">
        <v>150</v>
      </c>
      <c r="M30" s="3" t="s">
        <v>51</v>
      </c>
      <c r="N30" s="2" t="s">
        <v>50</v>
      </c>
      <c r="O30" s="3">
        <v>4</v>
      </c>
      <c r="P30" s="3">
        <v>6</v>
      </c>
      <c r="Q30" s="3">
        <v>2</v>
      </c>
      <c r="R30" s="3">
        <v>1</v>
      </c>
      <c r="S30" s="3">
        <v>0.5</v>
      </c>
      <c r="T30" s="3">
        <v>0</v>
      </c>
      <c r="U30" s="3">
        <v>1</v>
      </c>
      <c r="V30" s="3">
        <v>1</v>
      </c>
      <c r="AM30" s="2" t="s">
        <v>51</v>
      </c>
      <c r="AN30" s="3" t="s">
        <v>121</v>
      </c>
      <c r="AO30" s="3" t="str">
        <f t="shared" si="69"/>
        <v>Y</v>
      </c>
      <c r="AP30" s="3" t="s">
        <v>51</v>
      </c>
      <c r="AQ30" s="3" t="s">
        <v>50</v>
      </c>
      <c r="AR30" s="3" t="s">
        <v>51</v>
      </c>
      <c r="AS30" t="s">
        <v>127</v>
      </c>
      <c r="AT30" t="s">
        <v>130</v>
      </c>
      <c r="AU30">
        <v>1</v>
      </c>
      <c r="AV30">
        <f t="shared" si="15"/>
        <v>3</v>
      </c>
      <c r="AX30">
        <f t="shared" si="16"/>
        <v>2</v>
      </c>
      <c r="AY30">
        <f t="shared" si="17"/>
        <v>0</v>
      </c>
      <c r="AZ30">
        <f t="shared" si="18"/>
        <v>2</v>
      </c>
      <c r="BA30">
        <f t="shared" si="19"/>
        <v>1</v>
      </c>
      <c r="BB30">
        <f t="shared" si="0"/>
        <v>0</v>
      </c>
      <c r="BC30">
        <f t="shared" si="1"/>
        <v>0</v>
      </c>
      <c r="BD30">
        <f t="shared" si="2"/>
        <v>0</v>
      </c>
      <c r="BE30">
        <f t="shared" si="3"/>
        <v>0</v>
      </c>
      <c r="BF30">
        <f t="shared" si="4"/>
        <v>0</v>
      </c>
      <c r="BG30">
        <f t="shared" si="5"/>
        <v>0</v>
      </c>
      <c r="BH30">
        <f t="shared" si="6"/>
        <v>0</v>
      </c>
      <c r="BI30">
        <f t="shared" si="7"/>
        <v>0</v>
      </c>
      <c r="BJ30">
        <f t="shared" si="20"/>
        <v>1</v>
      </c>
      <c r="BK30">
        <f t="shared" si="21"/>
        <v>2</v>
      </c>
      <c r="BL30">
        <f t="shared" si="22"/>
        <v>13</v>
      </c>
      <c r="BM30">
        <f t="shared" si="23"/>
        <v>5</v>
      </c>
      <c r="BN30">
        <f t="shared" si="8"/>
        <v>0.38461538461538464</v>
      </c>
      <c r="BO30">
        <f t="shared" si="9"/>
        <v>0.38461538461538464</v>
      </c>
      <c r="BP30" t="e">
        <f t="shared" si="10"/>
        <v>#DIV/0!</v>
      </c>
      <c r="BQ30" t="e">
        <f t="shared" si="11"/>
        <v>#DIV/0!</v>
      </c>
      <c r="BR30" t="str">
        <f t="shared" si="12"/>
        <v>Yes</v>
      </c>
      <c r="BS30" t="str">
        <f t="shared" si="13"/>
        <v>No</v>
      </c>
      <c r="BT30" t="str">
        <f t="shared" si="24"/>
        <v>No</v>
      </c>
      <c r="BU30" s="3" t="s">
        <v>36</v>
      </c>
      <c r="BV30" t="s">
        <v>51</v>
      </c>
      <c r="BX30">
        <f t="shared" si="14"/>
        <v>10</v>
      </c>
      <c r="BY30">
        <f t="shared" si="25"/>
        <v>2</v>
      </c>
      <c r="BZ30">
        <f t="shared" si="26"/>
        <v>3</v>
      </c>
      <c r="CA30">
        <f t="shared" si="27"/>
        <v>3</v>
      </c>
      <c r="CB30">
        <f t="shared" si="28"/>
        <v>0.2</v>
      </c>
      <c r="CC30">
        <f t="shared" si="29"/>
        <v>1</v>
      </c>
      <c r="CD30">
        <f t="shared" si="30"/>
        <v>0.23076923076923078</v>
      </c>
      <c r="CE30">
        <f t="shared" si="31"/>
        <v>10</v>
      </c>
      <c r="CF30">
        <f t="shared" si="32"/>
        <v>2</v>
      </c>
      <c r="CG30">
        <f t="shared" si="33"/>
        <v>3</v>
      </c>
      <c r="CH30">
        <f t="shared" si="34"/>
        <v>3</v>
      </c>
      <c r="CI30">
        <f t="shared" si="35"/>
        <v>0</v>
      </c>
      <c r="CJ30">
        <f t="shared" si="36"/>
        <v>0</v>
      </c>
      <c r="CK30">
        <f t="shared" si="37"/>
        <v>0</v>
      </c>
      <c r="CL30">
        <f t="shared" si="38"/>
        <v>0</v>
      </c>
      <c r="CM30">
        <f t="shared" si="39"/>
        <v>0</v>
      </c>
      <c r="CN30">
        <f t="shared" si="40"/>
        <v>0</v>
      </c>
      <c r="CO30">
        <f t="shared" si="41"/>
        <v>0</v>
      </c>
      <c r="CP30">
        <f t="shared" si="42"/>
        <v>0</v>
      </c>
      <c r="CQ30">
        <f t="shared" si="43"/>
        <v>10</v>
      </c>
      <c r="CR30">
        <f t="shared" si="44"/>
        <v>2</v>
      </c>
      <c r="CS30">
        <f t="shared" si="45"/>
        <v>3</v>
      </c>
      <c r="CT30">
        <f t="shared" si="46"/>
        <v>3</v>
      </c>
      <c r="CU30">
        <f t="shared" si="47"/>
        <v>13</v>
      </c>
      <c r="CV30">
        <f t="shared" si="48"/>
        <v>5</v>
      </c>
      <c r="CW30">
        <f t="shared" si="49"/>
        <v>0</v>
      </c>
      <c r="CX30">
        <f t="shared" si="50"/>
        <v>0</v>
      </c>
      <c r="CY30">
        <f t="shared" si="51"/>
        <v>0</v>
      </c>
      <c r="CZ30">
        <f t="shared" si="52"/>
        <v>0</v>
      </c>
      <c r="DA30">
        <f t="shared" si="53"/>
        <v>6</v>
      </c>
      <c r="DB30">
        <f t="shared" si="54"/>
        <v>4</v>
      </c>
      <c r="DC30">
        <f t="shared" si="55"/>
        <v>7</v>
      </c>
      <c r="DD30">
        <f t="shared" si="56"/>
        <v>1</v>
      </c>
      <c r="DE30">
        <f t="shared" si="57"/>
        <v>0</v>
      </c>
      <c r="DF30">
        <f t="shared" si="58"/>
        <v>0</v>
      </c>
      <c r="DG30">
        <f t="shared" si="59"/>
        <v>0</v>
      </c>
      <c r="DH30">
        <f t="shared" si="60"/>
        <v>0</v>
      </c>
      <c r="DI30">
        <f t="shared" si="61"/>
        <v>0</v>
      </c>
      <c r="DJ30">
        <f t="shared" si="62"/>
        <v>0</v>
      </c>
      <c r="DK30">
        <f t="shared" si="63"/>
        <v>0</v>
      </c>
      <c r="DL30">
        <f t="shared" si="64"/>
        <v>0</v>
      </c>
      <c r="DM30">
        <f t="shared" si="65"/>
        <v>6</v>
      </c>
      <c r="DN30">
        <f t="shared" si="66"/>
        <v>4</v>
      </c>
      <c r="DO30">
        <f t="shared" si="67"/>
        <v>7</v>
      </c>
      <c r="DP30">
        <f t="shared" si="68"/>
        <v>1</v>
      </c>
      <c r="DQ30" s="3" t="s">
        <v>291</v>
      </c>
      <c r="DR30" s="3" t="s">
        <v>315</v>
      </c>
      <c r="DS30" s="3" t="s">
        <v>291</v>
      </c>
      <c r="DT30" s="3" t="s">
        <v>314</v>
      </c>
    </row>
    <row r="31" spans="1:124" ht="232" x14ac:dyDescent="0.35">
      <c r="A31" s="3" t="s">
        <v>22</v>
      </c>
      <c r="B31" s="3">
        <v>2002</v>
      </c>
      <c r="C31" s="3" t="s">
        <v>172</v>
      </c>
      <c r="D31" s="3" t="s">
        <v>41</v>
      </c>
      <c r="E31" s="3" t="s">
        <v>41</v>
      </c>
      <c r="F31" s="3" t="s">
        <v>45</v>
      </c>
      <c r="G31" s="3" t="s">
        <v>74</v>
      </c>
      <c r="H31" s="3" t="s">
        <v>50</v>
      </c>
      <c r="I31" s="3" t="s">
        <v>70</v>
      </c>
      <c r="J31" s="3" t="s">
        <v>79</v>
      </c>
      <c r="K31" s="3" t="s">
        <v>50</v>
      </c>
      <c r="L31" s="9" t="s">
        <v>113</v>
      </c>
      <c r="M31" s="3" t="s">
        <v>51</v>
      </c>
      <c r="N31" s="3" t="s">
        <v>50</v>
      </c>
      <c r="O31" s="3">
        <v>4</v>
      </c>
      <c r="P31" s="3">
        <v>0</v>
      </c>
      <c r="Q31" s="3">
        <v>18</v>
      </c>
      <c r="R31" s="3">
        <v>0</v>
      </c>
      <c r="S31" s="3">
        <v>0.25</v>
      </c>
      <c r="U31" s="3">
        <v>0.05</v>
      </c>
      <c r="W31" s="3">
        <v>4</v>
      </c>
      <c r="X31" s="3">
        <v>0</v>
      </c>
      <c r="Y31" s="3">
        <v>18</v>
      </c>
      <c r="Z31" s="3">
        <v>0</v>
      </c>
      <c r="AA31" s="3">
        <v>0.5</v>
      </c>
      <c r="AC31" s="3">
        <v>0.05</v>
      </c>
      <c r="AM31" s="3" t="s">
        <v>51</v>
      </c>
      <c r="AN31" s="3" t="s">
        <v>122</v>
      </c>
      <c r="AO31" s="3" t="str">
        <f t="shared" si="69"/>
        <v>N</v>
      </c>
      <c r="AP31" s="3" t="s">
        <v>51</v>
      </c>
      <c r="AQ31" s="3" t="s">
        <v>51</v>
      </c>
      <c r="AR31" s="3" t="s">
        <v>51</v>
      </c>
      <c r="AS31" t="s">
        <v>128</v>
      </c>
      <c r="AT31" t="s">
        <v>132</v>
      </c>
      <c r="AU31">
        <v>8</v>
      </c>
      <c r="AV31">
        <f t="shared" si="15"/>
        <v>1</v>
      </c>
      <c r="AX31">
        <f t="shared" si="16"/>
        <v>1</v>
      </c>
      <c r="AY31">
        <f t="shared" si="17"/>
        <v>0</v>
      </c>
      <c r="AZ31">
        <f t="shared" si="18"/>
        <v>0.9</v>
      </c>
      <c r="BA31">
        <f t="shared" si="19"/>
        <v>0</v>
      </c>
      <c r="BB31">
        <f t="shared" si="0"/>
        <v>2</v>
      </c>
      <c r="BC31">
        <f t="shared" si="1"/>
        <v>0</v>
      </c>
      <c r="BD31">
        <f t="shared" si="2"/>
        <v>0.9</v>
      </c>
      <c r="BE31">
        <f t="shared" si="3"/>
        <v>0</v>
      </c>
      <c r="BF31">
        <f t="shared" si="4"/>
        <v>0</v>
      </c>
      <c r="BG31">
        <f t="shared" si="5"/>
        <v>0</v>
      </c>
      <c r="BH31">
        <f t="shared" si="6"/>
        <v>0</v>
      </c>
      <c r="BI31">
        <f t="shared" si="7"/>
        <v>0</v>
      </c>
      <c r="BJ31">
        <f t="shared" si="20"/>
        <v>1</v>
      </c>
      <c r="BK31">
        <f t="shared" si="21"/>
        <v>0</v>
      </c>
      <c r="BL31">
        <f t="shared" si="22"/>
        <v>22</v>
      </c>
      <c r="BM31">
        <f t="shared" si="23"/>
        <v>3</v>
      </c>
      <c r="BN31">
        <f t="shared" si="8"/>
        <v>0.13636363636363635</v>
      </c>
      <c r="BO31">
        <f t="shared" si="9"/>
        <v>8.6363636363636365E-2</v>
      </c>
      <c r="BP31">
        <f t="shared" si="10"/>
        <v>0.13181818181818181</v>
      </c>
      <c r="BQ31" t="e">
        <f t="shared" si="11"/>
        <v>#DIV/0!</v>
      </c>
      <c r="BR31" t="str">
        <f t="shared" si="12"/>
        <v>Yes</v>
      </c>
      <c r="BS31" t="str">
        <f t="shared" si="13"/>
        <v>Yes</v>
      </c>
      <c r="BT31" t="str">
        <f t="shared" si="24"/>
        <v>No</v>
      </c>
      <c r="BU31" s="3" t="s">
        <v>36</v>
      </c>
      <c r="BV31" t="s">
        <v>51</v>
      </c>
      <c r="BX31">
        <f t="shared" si="14"/>
        <v>8</v>
      </c>
      <c r="BY31">
        <f t="shared" si="25"/>
        <v>3</v>
      </c>
      <c r="BZ31">
        <f t="shared" si="26"/>
        <v>36</v>
      </c>
      <c r="CA31">
        <f t="shared" si="27"/>
        <v>1.8</v>
      </c>
      <c r="CB31">
        <f t="shared" si="28"/>
        <v>0.375</v>
      </c>
      <c r="CC31">
        <f t="shared" si="29"/>
        <v>0.05</v>
      </c>
      <c r="CD31">
        <f t="shared" si="30"/>
        <v>0.81818181818181823</v>
      </c>
      <c r="CE31">
        <f t="shared" si="31"/>
        <v>4</v>
      </c>
      <c r="CF31">
        <f t="shared" si="32"/>
        <v>1</v>
      </c>
      <c r="CG31">
        <f t="shared" si="33"/>
        <v>18</v>
      </c>
      <c r="CH31">
        <f t="shared" si="34"/>
        <v>0.9</v>
      </c>
      <c r="CI31">
        <f t="shared" si="35"/>
        <v>4</v>
      </c>
      <c r="CJ31">
        <f t="shared" si="36"/>
        <v>2</v>
      </c>
      <c r="CK31">
        <f t="shared" si="37"/>
        <v>18</v>
      </c>
      <c r="CL31">
        <f t="shared" si="38"/>
        <v>0.9</v>
      </c>
      <c r="CM31">
        <f t="shared" si="39"/>
        <v>0</v>
      </c>
      <c r="CN31">
        <f t="shared" si="40"/>
        <v>0</v>
      </c>
      <c r="CO31">
        <f t="shared" si="41"/>
        <v>0</v>
      </c>
      <c r="CP31">
        <f t="shared" si="42"/>
        <v>0</v>
      </c>
      <c r="CQ31">
        <f t="shared" si="43"/>
        <v>4</v>
      </c>
      <c r="CR31">
        <f t="shared" si="44"/>
        <v>2</v>
      </c>
      <c r="CS31">
        <f t="shared" si="45"/>
        <v>18</v>
      </c>
      <c r="CT31">
        <f t="shared" si="46"/>
        <v>1</v>
      </c>
      <c r="CU31">
        <f t="shared" si="47"/>
        <v>22</v>
      </c>
      <c r="CV31">
        <f t="shared" si="48"/>
        <v>2</v>
      </c>
      <c r="CW31">
        <f t="shared" si="49"/>
        <v>22</v>
      </c>
      <c r="CX31">
        <f t="shared" si="50"/>
        <v>3</v>
      </c>
      <c r="CY31">
        <f t="shared" si="51"/>
        <v>0</v>
      </c>
      <c r="CZ31">
        <f t="shared" si="52"/>
        <v>0</v>
      </c>
      <c r="DA31">
        <f t="shared" si="53"/>
        <v>22</v>
      </c>
      <c r="DB31">
        <f t="shared" si="54"/>
        <v>2</v>
      </c>
      <c r="DC31">
        <f t="shared" si="55"/>
        <v>0</v>
      </c>
      <c r="DD31">
        <f t="shared" si="56"/>
        <v>0</v>
      </c>
      <c r="DE31">
        <f t="shared" si="57"/>
        <v>22</v>
      </c>
      <c r="DF31">
        <f t="shared" si="58"/>
        <v>3</v>
      </c>
      <c r="DG31">
        <f t="shared" si="59"/>
        <v>0</v>
      </c>
      <c r="DH31">
        <f t="shared" si="60"/>
        <v>0</v>
      </c>
      <c r="DI31">
        <f t="shared" si="61"/>
        <v>0</v>
      </c>
      <c r="DJ31">
        <f t="shared" si="62"/>
        <v>0</v>
      </c>
      <c r="DK31">
        <f t="shared" si="63"/>
        <v>0</v>
      </c>
      <c r="DL31">
        <f t="shared" si="64"/>
        <v>0</v>
      </c>
      <c r="DM31">
        <f t="shared" si="65"/>
        <v>22</v>
      </c>
      <c r="DN31">
        <f t="shared" si="66"/>
        <v>3</v>
      </c>
      <c r="DO31">
        <f t="shared" si="67"/>
        <v>0</v>
      </c>
      <c r="DP31">
        <f t="shared" si="68"/>
        <v>0</v>
      </c>
      <c r="DQ31" s="3" t="s">
        <v>291</v>
      </c>
      <c r="DR31" s="3" t="s">
        <v>299</v>
      </c>
      <c r="DS31" s="3" t="s">
        <v>291</v>
      </c>
      <c r="DT31" s="26" t="s">
        <v>316</v>
      </c>
    </row>
    <row r="32" spans="1:124" ht="101.5" x14ac:dyDescent="0.35">
      <c r="A32" s="2" t="s">
        <v>31</v>
      </c>
      <c r="B32" s="2">
        <v>2013</v>
      </c>
      <c r="C32" s="2" t="s">
        <v>173</v>
      </c>
      <c r="D32" s="3" t="s">
        <v>40</v>
      </c>
      <c r="E32" s="3" t="s">
        <v>41</v>
      </c>
      <c r="F32" s="2" t="s">
        <v>45</v>
      </c>
      <c r="G32" s="3" t="s">
        <v>74</v>
      </c>
      <c r="H32" s="2" t="s">
        <v>50</v>
      </c>
      <c r="I32" s="2" t="s">
        <v>77</v>
      </c>
      <c r="J32" s="2" t="s">
        <v>79</v>
      </c>
      <c r="K32" s="2" t="s">
        <v>51</v>
      </c>
      <c r="L32" s="2" t="s">
        <v>111</v>
      </c>
      <c r="M32" s="3" t="s">
        <v>51</v>
      </c>
      <c r="N32" s="2" t="s">
        <v>50</v>
      </c>
      <c r="W32" s="3">
        <v>0</v>
      </c>
      <c r="X32" s="3">
        <v>0</v>
      </c>
      <c r="Y32" s="3">
        <v>1</v>
      </c>
      <c r="Z32" s="3">
        <v>0</v>
      </c>
      <c r="AC32" s="3">
        <v>1</v>
      </c>
      <c r="AM32" s="2" t="s">
        <v>50</v>
      </c>
      <c r="AN32" s="3" t="s">
        <v>122</v>
      </c>
      <c r="AO32" s="3" t="str">
        <f t="shared" si="69"/>
        <v>N</v>
      </c>
      <c r="AP32" s="3" t="s">
        <v>50</v>
      </c>
      <c r="AQ32" s="3" t="s">
        <v>50</v>
      </c>
      <c r="AR32" s="3" t="s">
        <v>51</v>
      </c>
      <c r="AS32" t="s">
        <v>128</v>
      </c>
      <c r="AT32" t="s">
        <v>131</v>
      </c>
      <c r="AU32">
        <v>9</v>
      </c>
      <c r="AV32">
        <f t="shared" si="15"/>
        <v>3</v>
      </c>
      <c r="AX32">
        <f t="shared" si="16"/>
        <v>0</v>
      </c>
      <c r="AY32">
        <f t="shared" si="17"/>
        <v>0</v>
      </c>
      <c r="AZ32">
        <f t="shared" si="18"/>
        <v>0</v>
      </c>
      <c r="BA32">
        <f t="shared" si="19"/>
        <v>0</v>
      </c>
      <c r="BB32">
        <f t="shared" si="0"/>
        <v>0</v>
      </c>
      <c r="BC32">
        <f t="shared" si="1"/>
        <v>0</v>
      </c>
      <c r="BD32">
        <f t="shared" si="2"/>
        <v>1</v>
      </c>
      <c r="BE32">
        <f t="shared" si="3"/>
        <v>0</v>
      </c>
      <c r="BF32">
        <f t="shared" si="4"/>
        <v>0</v>
      </c>
      <c r="BG32">
        <f t="shared" si="5"/>
        <v>0</v>
      </c>
      <c r="BH32">
        <f t="shared" si="6"/>
        <v>0</v>
      </c>
      <c r="BI32">
        <f t="shared" si="7"/>
        <v>0</v>
      </c>
      <c r="BJ32">
        <f t="shared" si="20"/>
        <v>1</v>
      </c>
      <c r="BK32">
        <f t="shared" si="21"/>
        <v>2</v>
      </c>
      <c r="BL32">
        <f t="shared" si="22"/>
        <v>1</v>
      </c>
      <c r="BM32">
        <f t="shared" si="23"/>
        <v>1</v>
      </c>
      <c r="BN32">
        <f t="shared" si="8"/>
        <v>1</v>
      </c>
      <c r="BO32" t="e">
        <f t="shared" si="9"/>
        <v>#DIV/0!</v>
      </c>
      <c r="BP32">
        <f t="shared" si="10"/>
        <v>1</v>
      </c>
      <c r="BQ32" t="e">
        <f t="shared" si="11"/>
        <v>#DIV/0!</v>
      </c>
      <c r="BR32" t="str">
        <f t="shared" si="12"/>
        <v>No</v>
      </c>
      <c r="BS32" t="str">
        <f t="shared" si="13"/>
        <v>Yes</v>
      </c>
      <c r="BT32" t="str">
        <f t="shared" si="24"/>
        <v>No</v>
      </c>
      <c r="BU32" t="e">
        <f>SUM(AJ32="Y",BL32="Y",BO32="Y",BP32="Y",BN32="Y")</f>
        <v>#DIV/0!</v>
      </c>
      <c r="BV32" t="s">
        <v>51</v>
      </c>
      <c r="BX32">
        <f t="shared" si="14"/>
        <v>0</v>
      </c>
      <c r="BY32">
        <f t="shared" si="25"/>
        <v>0</v>
      </c>
      <c r="BZ32">
        <f t="shared" si="26"/>
        <v>1</v>
      </c>
      <c r="CA32">
        <f t="shared" si="27"/>
        <v>1</v>
      </c>
      <c r="CB32" t="e">
        <f t="shared" si="28"/>
        <v>#DIV/0!</v>
      </c>
      <c r="CC32">
        <f t="shared" si="29"/>
        <v>1</v>
      </c>
      <c r="CD32">
        <f t="shared" si="30"/>
        <v>1</v>
      </c>
      <c r="CE32">
        <f t="shared" si="31"/>
        <v>0</v>
      </c>
      <c r="CF32">
        <f t="shared" si="32"/>
        <v>0</v>
      </c>
      <c r="CG32">
        <f t="shared" si="33"/>
        <v>0</v>
      </c>
      <c r="CH32">
        <f t="shared" si="34"/>
        <v>0</v>
      </c>
      <c r="CI32">
        <f t="shared" si="35"/>
        <v>0</v>
      </c>
      <c r="CJ32">
        <f t="shared" si="36"/>
        <v>0</v>
      </c>
      <c r="CK32">
        <f t="shared" si="37"/>
        <v>1</v>
      </c>
      <c r="CL32">
        <f t="shared" si="38"/>
        <v>1</v>
      </c>
      <c r="CM32">
        <f t="shared" si="39"/>
        <v>0</v>
      </c>
      <c r="CN32">
        <f t="shared" si="40"/>
        <v>0</v>
      </c>
      <c r="CO32">
        <f t="shared" si="41"/>
        <v>0</v>
      </c>
      <c r="CP32">
        <f t="shared" si="42"/>
        <v>0</v>
      </c>
      <c r="CQ32">
        <f t="shared" si="43"/>
        <v>0</v>
      </c>
      <c r="CR32">
        <f t="shared" si="44"/>
        <v>0</v>
      </c>
      <c r="CS32">
        <f t="shared" si="45"/>
        <v>1</v>
      </c>
      <c r="CT32">
        <f t="shared" si="46"/>
        <v>1</v>
      </c>
      <c r="CU32">
        <f t="shared" si="47"/>
        <v>0</v>
      </c>
      <c r="CV32">
        <f t="shared" si="48"/>
        <v>0</v>
      </c>
      <c r="CW32">
        <f t="shared" si="49"/>
        <v>1</v>
      </c>
      <c r="CX32">
        <f t="shared" si="50"/>
        <v>1</v>
      </c>
      <c r="CY32">
        <f t="shared" si="51"/>
        <v>0</v>
      </c>
      <c r="CZ32">
        <f t="shared" si="52"/>
        <v>0</v>
      </c>
      <c r="DA32">
        <f t="shared" si="53"/>
        <v>0</v>
      </c>
      <c r="DB32">
        <f t="shared" si="54"/>
        <v>0</v>
      </c>
      <c r="DC32">
        <f t="shared" si="55"/>
        <v>0</v>
      </c>
      <c r="DD32">
        <f t="shared" si="56"/>
        <v>0</v>
      </c>
      <c r="DE32">
        <f t="shared" si="57"/>
        <v>1</v>
      </c>
      <c r="DF32">
        <f t="shared" si="58"/>
        <v>1</v>
      </c>
      <c r="DG32">
        <f t="shared" si="59"/>
        <v>0</v>
      </c>
      <c r="DH32">
        <f t="shared" si="60"/>
        <v>0</v>
      </c>
      <c r="DI32">
        <f t="shared" si="61"/>
        <v>0</v>
      </c>
      <c r="DJ32">
        <f t="shared" si="62"/>
        <v>0</v>
      </c>
      <c r="DK32">
        <f t="shared" si="63"/>
        <v>0</v>
      </c>
      <c r="DL32">
        <f t="shared" si="64"/>
        <v>0</v>
      </c>
      <c r="DM32">
        <f t="shared" si="65"/>
        <v>1</v>
      </c>
      <c r="DN32">
        <f t="shared" si="66"/>
        <v>1</v>
      </c>
      <c r="DO32">
        <f t="shared" si="67"/>
        <v>0</v>
      </c>
      <c r="DP32">
        <f t="shared" si="68"/>
        <v>0</v>
      </c>
      <c r="DQ32" s="3" t="s">
        <v>291</v>
      </c>
      <c r="DR32" s="3" t="s">
        <v>317</v>
      </c>
      <c r="DS32" s="3"/>
      <c r="DT32" s="3"/>
    </row>
    <row r="33" spans="1:124" ht="58" x14ac:dyDescent="0.35">
      <c r="A33" s="2" t="s">
        <v>31</v>
      </c>
      <c r="B33" s="2">
        <v>2013</v>
      </c>
      <c r="C33" s="2" t="s">
        <v>172</v>
      </c>
      <c r="D33" s="3" t="s">
        <v>40</v>
      </c>
      <c r="E33" s="3" t="s">
        <v>41</v>
      </c>
      <c r="F33" s="2" t="s">
        <v>45</v>
      </c>
      <c r="G33" s="3" t="s">
        <v>74</v>
      </c>
      <c r="H33" s="2" t="s">
        <v>50</v>
      </c>
      <c r="I33" s="2" t="s">
        <v>77</v>
      </c>
      <c r="J33" s="2" t="s">
        <v>79</v>
      </c>
      <c r="K33" s="2" t="s">
        <v>51</v>
      </c>
      <c r="L33" s="2" t="s">
        <v>111</v>
      </c>
      <c r="M33" s="3" t="s">
        <v>51</v>
      </c>
      <c r="N33" s="2" t="s">
        <v>50</v>
      </c>
      <c r="W33" s="3">
        <v>0</v>
      </c>
      <c r="X33" s="3">
        <v>0</v>
      </c>
      <c r="Y33" s="3">
        <v>1</v>
      </c>
      <c r="Z33" s="3">
        <v>0</v>
      </c>
      <c r="AC33" s="3">
        <v>1</v>
      </c>
      <c r="AM33" s="2" t="s">
        <v>50</v>
      </c>
      <c r="AN33" s="3" t="s">
        <v>122</v>
      </c>
      <c r="AO33" s="3" t="str">
        <f t="shared" si="69"/>
        <v>N</v>
      </c>
      <c r="AP33" s="3" t="s">
        <v>50</v>
      </c>
      <c r="AQ33" s="3" t="s">
        <v>50</v>
      </c>
      <c r="AR33" s="3" t="s">
        <v>51</v>
      </c>
      <c r="AS33" t="s">
        <v>128</v>
      </c>
      <c r="AT33" t="s">
        <v>132</v>
      </c>
      <c r="AU33">
        <v>9</v>
      </c>
      <c r="AV33">
        <f t="shared" si="15"/>
        <v>3</v>
      </c>
      <c r="AX33">
        <f t="shared" si="16"/>
        <v>0</v>
      </c>
      <c r="AY33">
        <f t="shared" si="17"/>
        <v>0</v>
      </c>
      <c r="AZ33">
        <f t="shared" si="18"/>
        <v>0</v>
      </c>
      <c r="BA33">
        <f t="shared" si="19"/>
        <v>0</v>
      </c>
      <c r="BB33">
        <f t="shared" si="0"/>
        <v>0</v>
      </c>
      <c r="BC33">
        <f t="shared" si="1"/>
        <v>0</v>
      </c>
      <c r="BD33">
        <f t="shared" si="2"/>
        <v>1</v>
      </c>
      <c r="BE33">
        <f t="shared" si="3"/>
        <v>0</v>
      </c>
      <c r="BF33">
        <f t="shared" si="4"/>
        <v>0</v>
      </c>
      <c r="BG33">
        <f t="shared" si="5"/>
        <v>0</v>
      </c>
      <c r="BH33">
        <f t="shared" si="6"/>
        <v>0</v>
      </c>
      <c r="BI33">
        <f t="shared" si="7"/>
        <v>0</v>
      </c>
      <c r="BJ33">
        <f t="shared" si="20"/>
        <v>1</v>
      </c>
      <c r="BK33">
        <f t="shared" si="21"/>
        <v>2</v>
      </c>
      <c r="BL33">
        <f t="shared" si="22"/>
        <v>1</v>
      </c>
      <c r="BM33">
        <f t="shared" si="23"/>
        <v>1</v>
      </c>
      <c r="BN33">
        <f t="shared" si="8"/>
        <v>1</v>
      </c>
      <c r="BO33" t="e">
        <f t="shared" si="9"/>
        <v>#DIV/0!</v>
      </c>
      <c r="BP33">
        <f t="shared" si="10"/>
        <v>1</v>
      </c>
      <c r="BQ33" t="e">
        <f t="shared" si="11"/>
        <v>#DIV/0!</v>
      </c>
      <c r="BR33" t="str">
        <f t="shared" si="12"/>
        <v>No</v>
      </c>
      <c r="BS33" t="str">
        <f t="shared" si="13"/>
        <v>Yes</v>
      </c>
      <c r="BT33" t="str">
        <f t="shared" si="24"/>
        <v>No</v>
      </c>
      <c r="BU33" t="e">
        <f>SUM(AJ33="Y",BL33="Y",BO33="Y",BP33="Y",BN33="Y")</f>
        <v>#DIV/0!</v>
      </c>
      <c r="BV33" t="s">
        <v>51</v>
      </c>
      <c r="BX33">
        <f t="shared" si="14"/>
        <v>0</v>
      </c>
      <c r="BY33">
        <f t="shared" si="25"/>
        <v>0</v>
      </c>
      <c r="BZ33">
        <f t="shared" si="26"/>
        <v>1</v>
      </c>
      <c r="CA33">
        <f t="shared" si="27"/>
        <v>1</v>
      </c>
      <c r="CB33" t="e">
        <f t="shared" si="28"/>
        <v>#DIV/0!</v>
      </c>
      <c r="CC33">
        <f t="shared" si="29"/>
        <v>1</v>
      </c>
      <c r="CD33">
        <f t="shared" si="30"/>
        <v>1</v>
      </c>
      <c r="CE33">
        <f t="shared" si="31"/>
        <v>0</v>
      </c>
      <c r="CF33">
        <f t="shared" si="32"/>
        <v>0</v>
      </c>
      <c r="CG33">
        <f t="shared" si="33"/>
        <v>0</v>
      </c>
      <c r="CH33">
        <f t="shared" si="34"/>
        <v>0</v>
      </c>
      <c r="CI33">
        <f t="shared" si="35"/>
        <v>0</v>
      </c>
      <c r="CJ33">
        <f t="shared" si="36"/>
        <v>0</v>
      </c>
      <c r="CK33">
        <f t="shared" si="37"/>
        <v>1</v>
      </c>
      <c r="CL33">
        <f t="shared" si="38"/>
        <v>1</v>
      </c>
      <c r="CM33">
        <f t="shared" si="39"/>
        <v>0</v>
      </c>
      <c r="CN33">
        <f t="shared" si="40"/>
        <v>0</v>
      </c>
      <c r="CO33">
        <f t="shared" si="41"/>
        <v>0</v>
      </c>
      <c r="CP33">
        <f t="shared" si="42"/>
        <v>0</v>
      </c>
      <c r="CQ33">
        <f t="shared" si="43"/>
        <v>0</v>
      </c>
      <c r="CR33">
        <f t="shared" si="44"/>
        <v>0</v>
      </c>
      <c r="CS33">
        <f t="shared" si="45"/>
        <v>1</v>
      </c>
      <c r="CT33">
        <f t="shared" si="46"/>
        <v>1</v>
      </c>
      <c r="CU33">
        <f t="shared" si="47"/>
        <v>0</v>
      </c>
      <c r="CV33">
        <f t="shared" si="48"/>
        <v>0</v>
      </c>
      <c r="CW33">
        <f t="shared" si="49"/>
        <v>1</v>
      </c>
      <c r="CX33">
        <f t="shared" si="50"/>
        <v>1</v>
      </c>
      <c r="CY33">
        <f t="shared" si="51"/>
        <v>0</v>
      </c>
      <c r="CZ33">
        <f t="shared" si="52"/>
        <v>0</v>
      </c>
      <c r="DA33">
        <f t="shared" si="53"/>
        <v>0</v>
      </c>
      <c r="DB33">
        <f t="shared" si="54"/>
        <v>0</v>
      </c>
      <c r="DC33">
        <f t="shared" si="55"/>
        <v>0</v>
      </c>
      <c r="DD33">
        <f t="shared" si="56"/>
        <v>0</v>
      </c>
      <c r="DE33">
        <f t="shared" si="57"/>
        <v>1</v>
      </c>
      <c r="DF33">
        <f t="shared" si="58"/>
        <v>1</v>
      </c>
      <c r="DG33">
        <f t="shared" si="59"/>
        <v>0</v>
      </c>
      <c r="DH33">
        <f t="shared" si="60"/>
        <v>0</v>
      </c>
      <c r="DI33">
        <f t="shared" si="61"/>
        <v>0</v>
      </c>
      <c r="DJ33">
        <f t="shared" si="62"/>
        <v>0</v>
      </c>
      <c r="DK33">
        <f t="shared" si="63"/>
        <v>0</v>
      </c>
      <c r="DL33">
        <f t="shared" si="64"/>
        <v>0</v>
      </c>
      <c r="DM33">
        <f t="shared" si="65"/>
        <v>1</v>
      </c>
      <c r="DN33">
        <f t="shared" si="66"/>
        <v>1</v>
      </c>
      <c r="DO33">
        <f t="shared" si="67"/>
        <v>0</v>
      </c>
      <c r="DP33">
        <f t="shared" si="68"/>
        <v>0</v>
      </c>
      <c r="DQ33" s="3"/>
      <c r="DR33" s="3"/>
      <c r="DS33" s="3"/>
      <c r="DT33" s="3"/>
    </row>
    <row r="34" spans="1:124" x14ac:dyDescent="0.35">
      <c r="BU34" s="3"/>
    </row>
    <row r="35" spans="1:124" x14ac:dyDescent="0.35">
      <c r="BU35" s="3"/>
    </row>
    <row r="38" spans="1:124" x14ac:dyDescent="0.35">
      <c r="C38" s="3"/>
      <c r="F38" s="3"/>
      <c r="H38" s="8"/>
      <c r="I38" s="3"/>
      <c r="J38" s="3"/>
      <c r="K38" s="9"/>
      <c r="L38" s="3"/>
      <c r="M38" s="3"/>
      <c r="N38" s="3"/>
      <c r="AM38" s="3"/>
      <c r="AN38" s="3"/>
      <c r="AO38" s="3"/>
      <c r="AP38" s="3"/>
      <c r="AQ38" s="3"/>
      <c r="AR38" s="3"/>
      <c r="AS38" s="3"/>
      <c r="AT38" s="3"/>
      <c r="AU38" s="3"/>
    </row>
    <row r="39" spans="1:124" x14ac:dyDescent="0.35">
      <c r="C39" s="2"/>
      <c r="D39" s="2"/>
      <c r="E39" s="2"/>
      <c r="F39" s="2"/>
      <c r="G39" s="2"/>
      <c r="H39" s="2"/>
      <c r="I39" s="2"/>
      <c r="J39" s="2"/>
      <c r="K39" s="2"/>
      <c r="L39" s="2"/>
      <c r="M39" s="2"/>
      <c r="N39" s="2"/>
      <c r="AM39" s="3"/>
      <c r="AN39" s="3"/>
      <c r="AO39" s="3"/>
      <c r="AP39" s="3"/>
      <c r="AQ39" s="3"/>
      <c r="AR39" s="3"/>
      <c r="AS39" s="3"/>
      <c r="AT39" s="3"/>
      <c r="AU39" s="3"/>
    </row>
    <row r="40" spans="1:124" x14ac:dyDescent="0.35">
      <c r="C40" s="2"/>
      <c r="D40" s="2"/>
      <c r="E40" s="2"/>
      <c r="F40" s="2"/>
      <c r="G40" s="2"/>
      <c r="H40" s="2"/>
      <c r="I40" s="2"/>
      <c r="J40" s="2"/>
      <c r="K40" s="2"/>
      <c r="L40" s="2"/>
      <c r="M40" s="2"/>
      <c r="N40" s="2"/>
      <c r="AM40" s="3"/>
      <c r="AN40" s="3"/>
      <c r="AO40" s="3"/>
      <c r="AP40" s="3"/>
      <c r="AQ40" s="3"/>
      <c r="AR40" s="3"/>
      <c r="AS40" s="3"/>
      <c r="AT40" s="3"/>
      <c r="AU40" s="3"/>
    </row>
    <row r="50" spans="73:75" x14ac:dyDescent="0.35">
      <c r="BU50" s="3"/>
    </row>
    <row r="51" spans="73:75" x14ac:dyDescent="0.35">
      <c r="BU51" s="3"/>
    </row>
    <row r="52" spans="73:75" x14ac:dyDescent="0.35">
      <c r="BU52" s="3"/>
    </row>
    <row r="61" spans="73:75" x14ac:dyDescent="0.35">
      <c r="BU61" s="3"/>
      <c r="BV61" s="2"/>
      <c r="BW61" s="3"/>
    </row>
    <row r="62" spans="73:75" x14ac:dyDescent="0.35">
      <c r="BU62" s="3"/>
      <c r="BV62" s="2"/>
      <c r="BW62" s="3"/>
    </row>
    <row r="63" spans="73:75" x14ac:dyDescent="0.35">
      <c r="BU63" s="3"/>
      <c r="BV63" s="2"/>
      <c r="BW63" s="3"/>
    </row>
    <row r="64" spans="73:75" x14ac:dyDescent="0.35">
      <c r="BU64" s="3"/>
    </row>
    <row r="65" spans="73:73" x14ac:dyDescent="0.35">
      <c r="BU65" s="3"/>
    </row>
    <row r="66" spans="73:73" x14ac:dyDescent="0.35">
      <c r="BU66" s="3"/>
    </row>
    <row r="67" spans="73:73" x14ac:dyDescent="0.35">
      <c r="BU67" s="3"/>
    </row>
    <row r="68" spans="73:73" x14ac:dyDescent="0.35">
      <c r="BU68" s="3"/>
    </row>
    <row r="69" spans="73:73" x14ac:dyDescent="0.35">
      <c r="BU69" s="3"/>
    </row>
  </sheetData>
  <sortState xmlns:xlrd2="http://schemas.microsoft.com/office/spreadsheetml/2017/richdata2" ref="A2:BW33">
    <sortCondition ref="A1:A33"/>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63E37-84EE-4E4E-ADE8-70D28221E72E}">
  <dimension ref="A1:BJ63"/>
  <sheetViews>
    <sheetView topLeftCell="AJ1" zoomScale="69" workbookViewId="0">
      <selection activeCell="BB2" sqref="BB2"/>
    </sheetView>
  </sheetViews>
  <sheetFormatPr defaultRowHeight="14.5" x14ac:dyDescent="0.35"/>
  <sheetData>
    <row r="1" spans="1:62" ht="87.5" thickBot="1" x14ac:dyDescent="0.4">
      <c r="A1" s="1" t="s">
        <v>0</v>
      </c>
      <c r="B1" s="1" t="s">
        <v>1</v>
      </c>
      <c r="C1" s="1" t="s">
        <v>34</v>
      </c>
      <c r="D1" s="7" t="s">
        <v>37</v>
      </c>
      <c r="E1" s="7" t="s">
        <v>46</v>
      </c>
      <c r="F1" s="1" t="s">
        <v>52</v>
      </c>
      <c r="G1" s="7" t="s">
        <v>71</v>
      </c>
      <c r="H1" s="1" t="s">
        <v>75</v>
      </c>
      <c r="I1" s="1" t="s">
        <v>76</v>
      </c>
      <c r="J1" s="1" t="s">
        <v>78</v>
      </c>
      <c r="K1" s="1" t="s">
        <v>80</v>
      </c>
      <c r="L1" s="1" t="s">
        <v>81</v>
      </c>
      <c r="M1" s="7" t="s">
        <v>82</v>
      </c>
      <c r="N1" s="1" t="s">
        <v>83</v>
      </c>
      <c r="O1" s="1" t="s">
        <v>84</v>
      </c>
      <c r="P1" s="1" t="s">
        <v>85</v>
      </c>
      <c r="Q1" s="1" t="s">
        <v>86</v>
      </c>
      <c r="R1" s="1" t="s">
        <v>87</v>
      </c>
      <c r="S1" s="1" t="s">
        <v>96</v>
      </c>
      <c r="T1" s="1" t="s">
        <v>97</v>
      </c>
      <c r="U1" s="1" t="s">
        <v>98</v>
      </c>
      <c r="V1" s="1" t="s">
        <v>99</v>
      </c>
      <c r="W1" s="1" t="s">
        <v>88</v>
      </c>
      <c r="X1" s="1" t="s">
        <v>89</v>
      </c>
      <c r="Y1" s="1" t="s">
        <v>90</v>
      </c>
      <c r="Z1" s="1" t="s">
        <v>91</v>
      </c>
      <c r="AA1" s="1" t="s">
        <v>100</v>
      </c>
      <c r="AB1" s="1" t="s">
        <v>101</v>
      </c>
      <c r="AC1" s="1" t="s">
        <v>102</v>
      </c>
      <c r="AD1" s="1" t="s">
        <v>103</v>
      </c>
      <c r="AE1" s="1" t="s">
        <v>92</v>
      </c>
      <c r="AF1" s="1" t="s">
        <v>93</v>
      </c>
      <c r="AG1" s="1" t="s">
        <v>94</v>
      </c>
      <c r="AH1" s="1" t="s">
        <v>95</v>
      </c>
      <c r="AI1" s="1" t="s">
        <v>104</v>
      </c>
      <c r="AJ1" s="1" t="s">
        <v>105</v>
      </c>
      <c r="AK1" s="1" t="s">
        <v>106</v>
      </c>
      <c r="AL1" s="1" t="s">
        <v>107</v>
      </c>
      <c r="AM1" s="1" t="s">
        <v>118</v>
      </c>
      <c r="AN1" s="1" t="s">
        <v>119</v>
      </c>
      <c r="AO1" s="1" t="s">
        <v>123</v>
      </c>
      <c r="AP1" s="1" t="s">
        <v>124</v>
      </c>
      <c r="AQ1" s="1" t="s">
        <v>125</v>
      </c>
      <c r="AR1" s="1" t="s">
        <v>126</v>
      </c>
      <c r="AS1" s="1" t="s">
        <v>129</v>
      </c>
      <c r="AT1" s="1" t="s">
        <v>133</v>
      </c>
      <c r="AU1" s="1" t="s">
        <v>134</v>
      </c>
      <c r="AV1" s="7" t="s">
        <v>135</v>
      </c>
      <c r="AW1" s="1" t="s">
        <v>143</v>
      </c>
      <c r="AX1" s="16" t="s">
        <v>230</v>
      </c>
      <c r="AY1" s="16" t="s">
        <v>214</v>
      </c>
      <c r="AZ1" s="16" t="s">
        <v>231</v>
      </c>
      <c r="BA1" s="16" t="s">
        <v>232</v>
      </c>
      <c r="BB1" s="16" t="s">
        <v>240</v>
      </c>
      <c r="BC1" s="16" t="s">
        <v>241</v>
      </c>
      <c r="BD1" s="16" t="s">
        <v>242</v>
      </c>
      <c r="BE1" s="16" t="s">
        <v>243</v>
      </c>
      <c r="BF1" s="16" t="s">
        <v>244</v>
      </c>
      <c r="BG1" s="16" t="s">
        <v>245</v>
      </c>
      <c r="BH1" s="16" t="s">
        <v>225</v>
      </c>
      <c r="BI1" s="16" t="s">
        <v>226</v>
      </c>
      <c r="BJ1" s="16" t="s">
        <v>227</v>
      </c>
    </row>
    <row r="2" spans="1:62" ht="101.5" x14ac:dyDescent="0.35">
      <c r="A2" s="2" t="s">
        <v>13</v>
      </c>
      <c r="B2" s="2">
        <v>1988</v>
      </c>
      <c r="C2" s="5" t="s">
        <v>36</v>
      </c>
      <c r="D2" s="3" t="s">
        <v>38</v>
      </c>
      <c r="E2" s="3" t="s">
        <v>41</v>
      </c>
      <c r="F2" s="2" t="s">
        <v>45</v>
      </c>
      <c r="G2" s="3" t="s">
        <v>74</v>
      </c>
      <c r="H2" s="2" t="s">
        <v>50</v>
      </c>
      <c r="I2" s="2" t="s">
        <v>77</v>
      </c>
      <c r="J2" s="2" t="s">
        <v>79</v>
      </c>
      <c r="K2" s="2" t="s">
        <v>51</v>
      </c>
      <c r="L2" s="2" t="s">
        <v>113</v>
      </c>
      <c r="M2" s="3" t="s">
        <v>50</v>
      </c>
      <c r="N2" s="2" t="s">
        <v>50</v>
      </c>
      <c r="O2" s="3">
        <v>0</v>
      </c>
      <c r="P2" s="3">
        <v>0</v>
      </c>
      <c r="Q2" s="3">
        <v>5</v>
      </c>
      <c r="R2" s="3">
        <v>0</v>
      </c>
      <c r="S2" s="3"/>
      <c r="T2" s="3"/>
      <c r="U2" s="3">
        <v>0.6</v>
      </c>
      <c r="V2" s="3"/>
      <c r="W2" s="3"/>
      <c r="X2" s="3"/>
      <c r="Y2" s="3"/>
      <c r="Z2" s="3"/>
      <c r="AA2" s="3"/>
      <c r="AB2" s="3"/>
      <c r="AC2" s="3"/>
      <c r="AD2" s="3"/>
      <c r="AE2" s="3"/>
      <c r="AF2" s="3"/>
      <c r="AG2" s="3"/>
      <c r="AH2" s="3"/>
      <c r="AI2" s="3"/>
      <c r="AJ2" s="3"/>
      <c r="AK2" s="3"/>
      <c r="AL2" s="3"/>
      <c r="AM2" s="2" t="s">
        <v>51</v>
      </c>
      <c r="AN2" s="3" t="s">
        <v>122</v>
      </c>
      <c r="AO2" s="3" t="s">
        <v>51</v>
      </c>
      <c r="AP2" s="3" t="s">
        <v>50</v>
      </c>
      <c r="AQ2" s="3" t="s">
        <v>51</v>
      </c>
      <c r="AR2" t="s">
        <v>128</v>
      </c>
      <c r="AS2" t="s">
        <v>131</v>
      </c>
      <c r="AT2">
        <v>2</v>
      </c>
      <c r="AU2">
        <f t="shared" ref="AU2:AU26" si="0">SUM(K2="Y",AM2="Y",AO2="Y",AP2="Y",AQ2="N")</f>
        <v>2</v>
      </c>
      <c r="AV2" s="3" t="s">
        <v>136</v>
      </c>
      <c r="AW2" t="s">
        <v>51</v>
      </c>
      <c r="AY2">
        <f t="shared" ref="AY2:AY33" si="1">SUM(O2,P2,Q2,R2,W2,X2,Y2,Z2,AE2,AF2,AG2,AH2)</f>
        <v>5</v>
      </c>
      <c r="AZ2">
        <f t="shared" ref="AZ2:AZ33" si="2">SUM(O2*S2,P2*T2,Q2*U2, R2*V2,W2*AA2,X2*AB2,Y2*AC2,Z2*AD2,AE2*AI2,AF2*AJ2,AG2*AK2,AH2*AL2)</f>
        <v>3</v>
      </c>
      <c r="BA2">
        <f t="shared" ref="BA2:BA33" si="3">AZ2/AY2</f>
        <v>0.6</v>
      </c>
      <c r="BB2">
        <f t="shared" ref="BB2:BB33" si="4">SUM(O2,P2,Q2,R2)</f>
        <v>5</v>
      </c>
      <c r="BC2">
        <f t="shared" ref="BC2:BC33" si="5">SUM(O2*S2,P2*T2,Q2*U2,R2*V2)</f>
        <v>3</v>
      </c>
      <c r="BD2">
        <f t="shared" ref="BD2:BD33" si="6">SUM(W2,X2,Y2,Z2)</f>
        <v>0</v>
      </c>
      <c r="BE2">
        <f t="shared" ref="BE2:BE33" si="7">SUM(W2*AA2,X2*AB2,Y2*AC2,Z2*AD2)</f>
        <v>0</v>
      </c>
      <c r="BF2">
        <f>BC2/BB2</f>
        <v>0.6</v>
      </c>
      <c r="BG2" t="e">
        <f>BE2/BD2</f>
        <v>#DIV/0!</v>
      </c>
      <c r="BH2" t="str">
        <f t="shared" ref="BH2:BH33" si="8">IF(OR(D2="Black", D2="Black and White", D2="Non-Hispanic White, Non-Hispanic Black and Hispanic", D2 = "White or Mixed and Blacks", D2 = "Black, White and Hispanic"),"Yes","No")</f>
        <v>Yes</v>
      </c>
      <c r="BI2" t="str">
        <f t="shared" ref="BI2:BI33" si="9">IF(OR(D2="White", D2="Black and White", D2="Non-Hispanic White, Non-Hispanic Black and Hispanic", D2 = "White or Mixed and Blacks", D2 = "Black, White and Hispanic"),"Yes","No")</f>
        <v>No</v>
      </c>
      <c r="BJ2" t="str">
        <f t="shared" ref="BJ2:BJ33" si="10">IF(OR(D2="Mexican-American", D2="Non-Hispanic White, Non-Hispanic Black and Hispanic"),"Yes","No")</f>
        <v>No</v>
      </c>
    </row>
    <row r="3" spans="1:62" ht="72.5" x14ac:dyDescent="0.35">
      <c r="A3" s="2" t="s">
        <v>14</v>
      </c>
      <c r="B3" s="2">
        <v>1988</v>
      </c>
      <c r="C3" s="5" t="s">
        <v>36</v>
      </c>
      <c r="D3" s="3" t="s">
        <v>38</v>
      </c>
      <c r="E3" s="3" t="s">
        <v>41</v>
      </c>
      <c r="F3" s="2" t="s">
        <v>45</v>
      </c>
      <c r="G3" s="3" t="s">
        <v>74</v>
      </c>
      <c r="H3" s="2" t="s">
        <v>50</v>
      </c>
      <c r="I3" s="2" t="s">
        <v>77</v>
      </c>
      <c r="J3" s="2" t="s">
        <v>79</v>
      </c>
      <c r="K3" s="2" t="s">
        <v>51</v>
      </c>
      <c r="L3" s="2" t="s">
        <v>112</v>
      </c>
      <c r="M3" s="3" t="s">
        <v>50</v>
      </c>
      <c r="N3" s="2" t="s">
        <v>50</v>
      </c>
      <c r="O3" s="3">
        <v>6</v>
      </c>
      <c r="P3" s="3">
        <v>0</v>
      </c>
      <c r="Q3" s="3">
        <v>0</v>
      </c>
      <c r="R3" s="3">
        <v>0</v>
      </c>
      <c r="S3" s="3">
        <v>0.83</v>
      </c>
      <c r="T3" s="3"/>
      <c r="U3" s="3"/>
      <c r="V3" s="3"/>
      <c r="W3" s="3"/>
      <c r="X3" s="3"/>
      <c r="Y3" s="3"/>
      <c r="Z3" s="3"/>
      <c r="AA3" s="3"/>
      <c r="AB3" s="3"/>
      <c r="AC3" s="3"/>
      <c r="AD3" s="3"/>
      <c r="AE3" s="3"/>
      <c r="AF3" s="3"/>
      <c r="AG3" s="3"/>
      <c r="AH3" s="3"/>
      <c r="AI3" s="3"/>
      <c r="AJ3" s="3"/>
      <c r="AK3" s="3"/>
      <c r="AL3" s="3"/>
      <c r="AM3" s="2" t="s">
        <v>51</v>
      </c>
      <c r="AN3" s="3" t="s">
        <v>122</v>
      </c>
      <c r="AO3" s="3" t="s">
        <v>51</v>
      </c>
      <c r="AP3" s="3" t="s">
        <v>50</v>
      </c>
      <c r="AQ3" s="3" t="s">
        <v>51</v>
      </c>
      <c r="AR3" t="s">
        <v>128</v>
      </c>
      <c r="AS3" t="s">
        <v>131</v>
      </c>
      <c r="AT3">
        <v>2</v>
      </c>
      <c r="AU3">
        <f t="shared" si="0"/>
        <v>2</v>
      </c>
      <c r="AV3" s="3" t="s">
        <v>137</v>
      </c>
      <c r="AW3" t="s">
        <v>51</v>
      </c>
      <c r="AY3">
        <f t="shared" si="1"/>
        <v>6</v>
      </c>
      <c r="AZ3">
        <f t="shared" si="2"/>
        <v>4.9799999999999995</v>
      </c>
      <c r="BA3">
        <f t="shared" si="3"/>
        <v>0.83</v>
      </c>
      <c r="BB3">
        <f t="shared" si="4"/>
        <v>6</v>
      </c>
      <c r="BC3">
        <f t="shared" si="5"/>
        <v>4.9799999999999995</v>
      </c>
      <c r="BD3">
        <f t="shared" si="6"/>
        <v>0</v>
      </c>
      <c r="BE3">
        <f t="shared" si="7"/>
        <v>0</v>
      </c>
      <c r="BF3">
        <f t="shared" ref="BF3:BF33" si="11">BC3/BB3</f>
        <v>0.83</v>
      </c>
      <c r="BG3" t="e">
        <f t="shared" ref="BG3:BG33" si="12">BE3/BD3</f>
        <v>#DIV/0!</v>
      </c>
      <c r="BH3" t="str">
        <f t="shared" si="8"/>
        <v>Yes</v>
      </c>
      <c r="BI3" t="str">
        <f t="shared" si="9"/>
        <v>No</v>
      </c>
      <c r="BJ3" t="str">
        <f t="shared" si="10"/>
        <v>No</v>
      </c>
    </row>
    <row r="4" spans="1:62" ht="58" x14ac:dyDescent="0.35">
      <c r="A4" s="2" t="s">
        <v>29</v>
      </c>
      <c r="B4" s="2">
        <v>2013</v>
      </c>
      <c r="C4" s="2" t="s">
        <v>172</v>
      </c>
      <c r="D4" s="3" t="s">
        <v>38</v>
      </c>
      <c r="E4" s="3" t="s">
        <v>41</v>
      </c>
      <c r="F4" s="2" t="s">
        <v>69</v>
      </c>
      <c r="G4" s="3" t="s">
        <v>72</v>
      </c>
      <c r="H4" s="2" t="s">
        <v>51</v>
      </c>
      <c r="I4" s="2" t="s">
        <v>70</v>
      </c>
      <c r="J4" s="2" t="s">
        <v>79</v>
      </c>
      <c r="K4" s="2" t="s">
        <v>50</v>
      </c>
      <c r="L4" s="2" t="s">
        <v>113</v>
      </c>
      <c r="M4" s="3" t="s">
        <v>50</v>
      </c>
      <c r="N4" s="2" t="s">
        <v>51</v>
      </c>
      <c r="O4" s="3">
        <v>7</v>
      </c>
      <c r="P4" s="3">
        <v>0</v>
      </c>
      <c r="Q4" s="3">
        <v>6</v>
      </c>
      <c r="R4" s="3">
        <v>0</v>
      </c>
      <c r="S4" s="3">
        <v>0</v>
      </c>
      <c r="T4" s="3"/>
      <c r="U4" s="3">
        <v>0.83</v>
      </c>
      <c r="V4" s="3"/>
      <c r="W4" s="3"/>
      <c r="X4" s="3"/>
      <c r="Y4" s="3"/>
      <c r="Z4" s="3"/>
      <c r="AA4" s="3"/>
      <c r="AB4" s="3"/>
      <c r="AC4" s="3"/>
      <c r="AD4" s="3"/>
      <c r="AE4" s="3"/>
      <c r="AF4" s="3"/>
      <c r="AG4" s="3"/>
      <c r="AH4" s="3"/>
      <c r="AI4" s="3"/>
      <c r="AJ4" s="3"/>
      <c r="AK4" s="3"/>
      <c r="AL4" s="3"/>
      <c r="AM4" s="2" t="s">
        <v>51</v>
      </c>
      <c r="AN4" s="3" t="s">
        <v>122</v>
      </c>
      <c r="AO4" s="3" t="s">
        <v>51</v>
      </c>
      <c r="AP4" s="3" t="s">
        <v>50</v>
      </c>
      <c r="AQ4" s="3" t="s">
        <v>51</v>
      </c>
      <c r="AR4" t="s">
        <v>128</v>
      </c>
      <c r="AS4" t="s">
        <v>132</v>
      </c>
      <c r="AT4">
        <v>11</v>
      </c>
      <c r="AU4">
        <f t="shared" si="0"/>
        <v>3</v>
      </c>
      <c r="AV4" s="3" t="s">
        <v>137</v>
      </c>
      <c r="AW4" t="s">
        <v>51</v>
      </c>
      <c r="AY4">
        <f t="shared" si="1"/>
        <v>13</v>
      </c>
      <c r="AZ4">
        <f t="shared" si="2"/>
        <v>4.9799999999999995</v>
      </c>
      <c r="BA4">
        <f t="shared" si="3"/>
        <v>0.38307692307692304</v>
      </c>
      <c r="BB4">
        <f t="shared" si="4"/>
        <v>13</v>
      </c>
      <c r="BC4">
        <f t="shared" si="5"/>
        <v>4.9799999999999995</v>
      </c>
      <c r="BD4">
        <f t="shared" si="6"/>
        <v>0</v>
      </c>
      <c r="BE4">
        <f t="shared" si="7"/>
        <v>0</v>
      </c>
      <c r="BF4">
        <f t="shared" si="11"/>
        <v>0.38307692307692304</v>
      </c>
      <c r="BG4" t="e">
        <f t="shared" si="12"/>
        <v>#DIV/0!</v>
      </c>
      <c r="BH4" t="str">
        <f t="shared" si="8"/>
        <v>Yes</v>
      </c>
      <c r="BI4" t="str">
        <f t="shared" si="9"/>
        <v>No</v>
      </c>
      <c r="BJ4" t="str">
        <f t="shared" si="10"/>
        <v>No</v>
      </c>
    </row>
    <row r="5" spans="1:62" ht="58" x14ac:dyDescent="0.35">
      <c r="A5" s="2" t="s">
        <v>27</v>
      </c>
      <c r="B5" s="2">
        <v>2010</v>
      </c>
      <c r="C5" s="2" t="s">
        <v>173</v>
      </c>
      <c r="D5" s="3" t="s">
        <v>38</v>
      </c>
      <c r="E5" s="3" t="s">
        <v>41</v>
      </c>
      <c r="F5" s="2" t="s">
        <v>45</v>
      </c>
      <c r="G5" s="3" t="s">
        <v>74</v>
      </c>
      <c r="H5" s="2" t="s">
        <v>50</v>
      </c>
      <c r="I5" s="2" t="s">
        <v>70</v>
      </c>
      <c r="J5" s="2" t="s">
        <v>79</v>
      </c>
      <c r="K5" s="2" t="s">
        <v>50</v>
      </c>
      <c r="L5" s="2" t="s">
        <v>111</v>
      </c>
      <c r="M5" s="3" t="s">
        <v>50</v>
      </c>
      <c r="N5" s="2" t="s">
        <v>50</v>
      </c>
      <c r="O5" s="3">
        <v>0</v>
      </c>
      <c r="P5" s="3">
        <v>0</v>
      </c>
      <c r="Q5" s="3">
        <v>5</v>
      </c>
      <c r="R5" s="3">
        <v>0</v>
      </c>
      <c r="S5" s="3"/>
      <c r="T5" s="3"/>
      <c r="U5" s="3">
        <v>0.8</v>
      </c>
      <c r="V5" s="3"/>
      <c r="W5" s="3"/>
      <c r="X5" s="3"/>
      <c r="Y5" s="3"/>
      <c r="Z5" s="3"/>
      <c r="AA5" s="3"/>
      <c r="AB5" s="3"/>
      <c r="AC5" s="3"/>
      <c r="AD5" s="3"/>
      <c r="AE5" s="3"/>
      <c r="AF5" s="3"/>
      <c r="AG5" s="3"/>
      <c r="AH5" s="3"/>
      <c r="AI5" s="3"/>
      <c r="AJ5" s="3"/>
      <c r="AK5" s="3"/>
      <c r="AL5" s="3"/>
      <c r="AM5" s="2" t="s">
        <v>50</v>
      </c>
      <c r="AN5" s="3" t="s">
        <v>122</v>
      </c>
      <c r="AO5" s="3" t="s">
        <v>50</v>
      </c>
      <c r="AP5" s="3" t="s">
        <v>50</v>
      </c>
      <c r="AQ5" s="3" t="s">
        <v>51</v>
      </c>
      <c r="AR5" t="s">
        <v>128</v>
      </c>
      <c r="AS5" t="s">
        <v>132</v>
      </c>
      <c r="AT5">
        <v>6</v>
      </c>
      <c r="AU5">
        <f t="shared" si="0"/>
        <v>5</v>
      </c>
      <c r="AV5" s="3" t="s">
        <v>138</v>
      </c>
      <c r="AW5" t="s">
        <v>50</v>
      </c>
      <c r="AX5" t="s">
        <v>145</v>
      </c>
      <c r="AY5">
        <f t="shared" si="1"/>
        <v>5</v>
      </c>
      <c r="AZ5">
        <f t="shared" si="2"/>
        <v>4</v>
      </c>
      <c r="BA5">
        <f t="shared" si="3"/>
        <v>0.8</v>
      </c>
      <c r="BB5">
        <f t="shared" si="4"/>
        <v>5</v>
      </c>
      <c r="BC5">
        <f t="shared" si="5"/>
        <v>4</v>
      </c>
      <c r="BD5">
        <f t="shared" si="6"/>
        <v>0</v>
      </c>
      <c r="BE5">
        <f t="shared" si="7"/>
        <v>0</v>
      </c>
      <c r="BF5">
        <f t="shared" si="11"/>
        <v>0.8</v>
      </c>
      <c r="BG5" t="e">
        <f t="shared" si="12"/>
        <v>#DIV/0!</v>
      </c>
      <c r="BH5" t="str">
        <f t="shared" si="8"/>
        <v>Yes</v>
      </c>
      <c r="BI5" t="str">
        <f t="shared" si="9"/>
        <v>No</v>
      </c>
      <c r="BJ5" t="str">
        <f t="shared" si="10"/>
        <v>No</v>
      </c>
    </row>
    <row r="6" spans="1:62" ht="58" x14ac:dyDescent="0.35">
      <c r="A6" s="2" t="s">
        <v>11</v>
      </c>
      <c r="B6" s="2">
        <v>1982</v>
      </c>
      <c r="C6" s="2" t="s">
        <v>173</v>
      </c>
      <c r="D6" s="3" t="s">
        <v>41</v>
      </c>
      <c r="E6" s="3" t="s">
        <v>41</v>
      </c>
      <c r="F6" s="2" t="s">
        <v>59</v>
      </c>
      <c r="G6" s="3" t="s">
        <v>72</v>
      </c>
      <c r="H6" s="2" t="s">
        <v>51</v>
      </c>
      <c r="I6" s="2" t="s">
        <v>70</v>
      </c>
      <c r="J6" s="2" t="s">
        <v>79</v>
      </c>
      <c r="K6" s="2" t="s">
        <v>50</v>
      </c>
      <c r="L6" s="2" t="s">
        <v>113</v>
      </c>
      <c r="M6" s="3" t="s">
        <v>51</v>
      </c>
      <c r="N6" s="2" t="s">
        <v>50</v>
      </c>
      <c r="O6" s="3">
        <v>10</v>
      </c>
      <c r="P6" s="3">
        <v>0</v>
      </c>
      <c r="Q6" s="3">
        <v>13</v>
      </c>
      <c r="R6" s="3">
        <v>0</v>
      </c>
      <c r="S6" s="3">
        <v>0</v>
      </c>
      <c r="T6" s="3"/>
      <c r="U6" s="3">
        <v>0.08</v>
      </c>
      <c r="V6" s="3"/>
      <c r="W6" s="3">
        <v>10</v>
      </c>
      <c r="X6" s="3">
        <v>0</v>
      </c>
      <c r="Y6" s="3">
        <v>13</v>
      </c>
      <c r="Z6" s="3">
        <v>0</v>
      </c>
      <c r="AA6" s="3">
        <v>0</v>
      </c>
      <c r="AB6" s="3"/>
      <c r="AC6" s="3">
        <v>0.69</v>
      </c>
      <c r="AD6" s="3"/>
      <c r="AE6" s="3"/>
      <c r="AF6" s="3"/>
      <c r="AG6" s="3"/>
      <c r="AH6" s="3"/>
      <c r="AI6" s="3"/>
      <c r="AJ6" s="3"/>
      <c r="AK6" s="3"/>
      <c r="AL6" s="3"/>
      <c r="AM6" s="2" t="s">
        <v>51</v>
      </c>
      <c r="AN6" s="3" t="s">
        <v>121</v>
      </c>
      <c r="AO6" s="3" t="s">
        <v>51</v>
      </c>
      <c r="AP6" s="3" t="s">
        <v>50</v>
      </c>
      <c r="AQ6" s="3" t="s">
        <v>51</v>
      </c>
      <c r="AR6" t="s">
        <v>127</v>
      </c>
      <c r="AS6" t="s">
        <v>131</v>
      </c>
      <c r="AT6">
        <v>2</v>
      </c>
      <c r="AU6">
        <f t="shared" si="0"/>
        <v>3</v>
      </c>
      <c r="AV6" s="3" t="s">
        <v>36</v>
      </c>
      <c r="AW6" t="s">
        <v>51</v>
      </c>
      <c r="AY6">
        <f t="shared" si="1"/>
        <v>46</v>
      </c>
      <c r="AZ6">
        <f t="shared" si="2"/>
        <v>10.009999999999998</v>
      </c>
      <c r="BA6">
        <f t="shared" si="3"/>
        <v>0.21760869565217386</v>
      </c>
      <c r="BB6">
        <f t="shared" si="4"/>
        <v>23</v>
      </c>
      <c r="BC6">
        <f t="shared" si="5"/>
        <v>1.04</v>
      </c>
      <c r="BD6">
        <f t="shared" si="6"/>
        <v>23</v>
      </c>
      <c r="BE6">
        <f t="shared" si="7"/>
        <v>8.9699999999999989</v>
      </c>
      <c r="BF6">
        <f t="shared" si="11"/>
        <v>4.5217391304347827E-2</v>
      </c>
      <c r="BG6">
        <f t="shared" si="12"/>
        <v>0.38999999999999996</v>
      </c>
      <c r="BH6" t="str">
        <f t="shared" si="8"/>
        <v>Yes</v>
      </c>
      <c r="BI6" t="str">
        <f t="shared" si="9"/>
        <v>Yes</v>
      </c>
      <c r="BJ6" t="str">
        <f t="shared" si="10"/>
        <v>No</v>
      </c>
    </row>
    <row r="7" spans="1:62" ht="43.5" x14ac:dyDescent="0.35">
      <c r="A7" s="2" t="s">
        <v>17</v>
      </c>
      <c r="B7" s="2">
        <v>1997</v>
      </c>
      <c r="C7" s="2" t="s">
        <v>173</v>
      </c>
      <c r="D7" s="3" t="s">
        <v>38</v>
      </c>
      <c r="E7" s="3" t="s">
        <v>41</v>
      </c>
      <c r="F7" s="2" t="s">
        <v>45</v>
      </c>
      <c r="G7" s="3" t="s">
        <v>74</v>
      </c>
      <c r="H7" s="2" t="s">
        <v>50</v>
      </c>
      <c r="I7" s="2" t="s">
        <v>70</v>
      </c>
      <c r="J7" s="2" t="s">
        <v>79</v>
      </c>
      <c r="K7" s="2" t="s">
        <v>50</v>
      </c>
      <c r="L7" s="2" t="s">
        <v>111</v>
      </c>
      <c r="M7" s="3" t="s">
        <v>51</v>
      </c>
      <c r="N7" s="2" t="s">
        <v>50</v>
      </c>
      <c r="O7" s="3">
        <v>0</v>
      </c>
      <c r="P7" s="3">
        <v>0</v>
      </c>
      <c r="Q7" s="3">
        <v>6</v>
      </c>
      <c r="R7" s="3">
        <v>0</v>
      </c>
      <c r="S7" s="3"/>
      <c r="T7" s="3"/>
      <c r="U7" s="3">
        <v>1</v>
      </c>
      <c r="V7" s="3"/>
      <c r="W7" s="3"/>
      <c r="X7" s="3"/>
      <c r="Y7" s="3"/>
      <c r="Z7" s="3"/>
      <c r="AA7" s="3"/>
      <c r="AB7" s="3"/>
      <c r="AC7" s="3"/>
      <c r="AD7" s="3"/>
      <c r="AE7" s="3"/>
      <c r="AF7" s="3"/>
      <c r="AG7" s="3"/>
      <c r="AH7" s="3"/>
      <c r="AI7" s="3"/>
      <c r="AJ7" s="3"/>
      <c r="AK7" s="3"/>
      <c r="AL7" s="3"/>
      <c r="AM7" s="2" t="s">
        <v>51</v>
      </c>
      <c r="AN7" s="3" t="s">
        <v>122</v>
      </c>
      <c r="AO7" s="3" t="s">
        <v>51</v>
      </c>
      <c r="AP7" s="3" t="s">
        <v>51</v>
      </c>
      <c r="AQ7" s="3" t="s">
        <v>51</v>
      </c>
      <c r="AR7" t="s">
        <v>128</v>
      </c>
      <c r="AS7" t="s">
        <v>131</v>
      </c>
      <c r="AT7">
        <v>9</v>
      </c>
      <c r="AU7">
        <f t="shared" si="0"/>
        <v>2</v>
      </c>
      <c r="AV7" s="3" t="s">
        <v>36</v>
      </c>
      <c r="AW7" t="s">
        <v>51</v>
      </c>
      <c r="AY7">
        <f t="shared" si="1"/>
        <v>6</v>
      </c>
      <c r="AZ7">
        <f t="shared" si="2"/>
        <v>6</v>
      </c>
      <c r="BA7">
        <f t="shared" si="3"/>
        <v>1</v>
      </c>
      <c r="BB7">
        <f t="shared" si="4"/>
        <v>6</v>
      </c>
      <c r="BC7">
        <f t="shared" si="5"/>
        <v>6</v>
      </c>
      <c r="BD7">
        <f t="shared" si="6"/>
        <v>0</v>
      </c>
      <c r="BE7">
        <f t="shared" si="7"/>
        <v>0</v>
      </c>
      <c r="BF7">
        <f t="shared" si="11"/>
        <v>1</v>
      </c>
      <c r="BG7" t="e">
        <f t="shared" si="12"/>
        <v>#DIV/0!</v>
      </c>
      <c r="BH7" t="str">
        <f t="shared" si="8"/>
        <v>Yes</v>
      </c>
      <c r="BI7" t="str">
        <f t="shared" si="9"/>
        <v>No</v>
      </c>
      <c r="BJ7" t="str">
        <f t="shared" si="10"/>
        <v>No</v>
      </c>
    </row>
    <row r="8" spans="1:62" ht="43.5" x14ac:dyDescent="0.35">
      <c r="A8" s="2" t="s">
        <v>18</v>
      </c>
      <c r="B8" s="2">
        <v>1997</v>
      </c>
      <c r="C8" s="2" t="s">
        <v>173</v>
      </c>
      <c r="D8" s="3" t="s">
        <v>38</v>
      </c>
      <c r="E8" s="3" t="s">
        <v>41</v>
      </c>
      <c r="F8" s="2" t="s">
        <v>45</v>
      </c>
      <c r="G8" s="3" t="s">
        <v>74</v>
      </c>
      <c r="H8" s="2" t="s">
        <v>50</v>
      </c>
      <c r="I8" s="2" t="s">
        <v>70</v>
      </c>
      <c r="J8" s="2" t="s">
        <v>79</v>
      </c>
      <c r="K8" s="2" t="s">
        <v>50</v>
      </c>
      <c r="L8" s="2" t="s">
        <v>111</v>
      </c>
      <c r="M8" s="3" t="s">
        <v>50</v>
      </c>
      <c r="N8" s="2" t="s">
        <v>51</v>
      </c>
      <c r="O8" s="3">
        <v>0</v>
      </c>
      <c r="P8" s="3">
        <v>0</v>
      </c>
      <c r="Q8" s="3">
        <v>10</v>
      </c>
      <c r="R8" s="3">
        <v>0</v>
      </c>
      <c r="S8" s="3"/>
      <c r="T8" s="3"/>
      <c r="U8" s="3">
        <v>0.9</v>
      </c>
      <c r="V8" s="3"/>
      <c r="W8" s="3"/>
      <c r="X8" s="3"/>
      <c r="Y8" s="3"/>
      <c r="Z8" s="3"/>
      <c r="AA8" s="3"/>
      <c r="AB8" s="3"/>
      <c r="AC8" s="3"/>
      <c r="AD8" s="3"/>
      <c r="AE8" s="3"/>
      <c r="AF8" s="3"/>
      <c r="AG8" s="3"/>
      <c r="AH8" s="3"/>
      <c r="AI8" s="3"/>
      <c r="AJ8" s="3"/>
      <c r="AK8" s="3"/>
      <c r="AL8" s="3"/>
      <c r="AM8" s="2" t="s">
        <v>51</v>
      </c>
      <c r="AN8" s="3" t="s">
        <v>122</v>
      </c>
      <c r="AO8" s="3" t="s">
        <v>51</v>
      </c>
      <c r="AP8" s="3" t="s">
        <v>51</v>
      </c>
      <c r="AQ8" s="3" t="s">
        <v>51</v>
      </c>
      <c r="AR8" t="s">
        <v>128</v>
      </c>
      <c r="AS8" t="s">
        <v>131</v>
      </c>
      <c r="AT8">
        <v>10</v>
      </c>
      <c r="AU8">
        <f t="shared" si="0"/>
        <v>2</v>
      </c>
      <c r="AV8" s="3" t="s">
        <v>137</v>
      </c>
      <c r="AW8" t="s">
        <v>51</v>
      </c>
      <c r="AY8">
        <f t="shared" si="1"/>
        <v>10</v>
      </c>
      <c r="AZ8">
        <f t="shared" si="2"/>
        <v>9</v>
      </c>
      <c r="BA8">
        <f t="shared" si="3"/>
        <v>0.9</v>
      </c>
      <c r="BB8">
        <f t="shared" si="4"/>
        <v>10</v>
      </c>
      <c r="BC8">
        <f t="shared" si="5"/>
        <v>9</v>
      </c>
      <c r="BD8">
        <f t="shared" si="6"/>
        <v>0</v>
      </c>
      <c r="BE8">
        <f t="shared" si="7"/>
        <v>0</v>
      </c>
      <c r="BF8">
        <f t="shared" si="11"/>
        <v>0.9</v>
      </c>
      <c r="BG8" t="e">
        <f t="shared" si="12"/>
        <v>#DIV/0!</v>
      </c>
      <c r="BH8" t="str">
        <f t="shared" si="8"/>
        <v>Yes</v>
      </c>
      <c r="BI8" t="str">
        <f t="shared" si="9"/>
        <v>No</v>
      </c>
      <c r="BJ8" t="str">
        <f t="shared" si="10"/>
        <v>No</v>
      </c>
    </row>
    <row r="9" spans="1:62" ht="43.5" x14ac:dyDescent="0.35">
      <c r="A9" s="4" t="s">
        <v>23</v>
      </c>
      <c r="B9" s="4">
        <v>2003</v>
      </c>
      <c r="C9" s="6" t="s">
        <v>172</v>
      </c>
      <c r="D9" s="3" t="s">
        <v>41</v>
      </c>
      <c r="E9" s="3" t="s">
        <v>41</v>
      </c>
      <c r="F9" s="4" t="s">
        <v>65</v>
      </c>
      <c r="G9" s="3" t="s">
        <v>73</v>
      </c>
      <c r="H9" s="4" t="s">
        <v>51</v>
      </c>
      <c r="I9" s="4" t="s">
        <v>70</v>
      </c>
      <c r="J9" s="4" t="s">
        <v>79</v>
      </c>
      <c r="K9" s="4" t="s">
        <v>50</v>
      </c>
      <c r="L9" s="2" t="s">
        <v>115</v>
      </c>
      <c r="M9" s="3" t="s">
        <v>51</v>
      </c>
      <c r="N9" s="4" t="s">
        <v>50</v>
      </c>
      <c r="O9" s="3">
        <v>0</v>
      </c>
      <c r="P9" s="3">
        <v>1</v>
      </c>
      <c r="Q9" s="3">
        <v>0</v>
      </c>
      <c r="R9" s="3">
        <v>0</v>
      </c>
      <c r="S9" s="3"/>
      <c r="T9" s="3">
        <v>0</v>
      </c>
      <c r="U9" s="3"/>
      <c r="V9" s="3"/>
      <c r="W9" s="3">
        <v>0</v>
      </c>
      <c r="X9" s="3">
        <v>1</v>
      </c>
      <c r="Y9" s="3">
        <v>0</v>
      </c>
      <c r="Z9" s="3">
        <v>0</v>
      </c>
      <c r="AA9" s="3"/>
      <c r="AB9" s="3">
        <v>0</v>
      </c>
      <c r="AC9" s="3"/>
      <c r="AD9" s="3"/>
      <c r="AE9" s="3"/>
      <c r="AF9" s="3"/>
      <c r="AG9" s="3"/>
      <c r="AH9" s="3"/>
      <c r="AI9" s="3"/>
      <c r="AJ9" s="3"/>
      <c r="AK9" s="3"/>
      <c r="AL9" s="3"/>
      <c r="AM9" s="4" t="s">
        <v>51</v>
      </c>
      <c r="AN9" s="3" t="s">
        <v>122</v>
      </c>
      <c r="AO9" s="3" t="s">
        <v>50</v>
      </c>
      <c r="AP9" s="3" t="s">
        <v>51</v>
      </c>
      <c r="AQ9" s="3" t="s">
        <v>51</v>
      </c>
      <c r="AR9" t="s">
        <v>128</v>
      </c>
      <c r="AS9" t="s">
        <v>132</v>
      </c>
      <c r="AT9">
        <v>5</v>
      </c>
      <c r="AU9">
        <f t="shared" si="0"/>
        <v>3</v>
      </c>
      <c r="AV9" s="3" t="s">
        <v>137</v>
      </c>
      <c r="AW9" t="s">
        <v>51</v>
      </c>
      <c r="AY9">
        <f t="shared" si="1"/>
        <v>2</v>
      </c>
      <c r="AZ9">
        <f t="shared" si="2"/>
        <v>0</v>
      </c>
      <c r="BA9">
        <f t="shared" si="3"/>
        <v>0</v>
      </c>
      <c r="BB9">
        <f t="shared" si="4"/>
        <v>1</v>
      </c>
      <c r="BC9">
        <f t="shared" si="5"/>
        <v>0</v>
      </c>
      <c r="BD9">
        <f t="shared" si="6"/>
        <v>1</v>
      </c>
      <c r="BE9">
        <f t="shared" si="7"/>
        <v>0</v>
      </c>
      <c r="BF9">
        <f t="shared" si="11"/>
        <v>0</v>
      </c>
      <c r="BG9">
        <f t="shared" si="12"/>
        <v>0</v>
      </c>
      <c r="BH9" t="str">
        <f t="shared" si="8"/>
        <v>Yes</v>
      </c>
      <c r="BI9" t="str">
        <f t="shared" si="9"/>
        <v>Yes</v>
      </c>
      <c r="BJ9" t="str">
        <f t="shared" si="10"/>
        <v>No</v>
      </c>
    </row>
    <row r="10" spans="1:62" ht="58" x14ac:dyDescent="0.35">
      <c r="A10" s="2" t="s">
        <v>16</v>
      </c>
      <c r="B10" s="2">
        <v>1991</v>
      </c>
      <c r="C10" s="2" t="s">
        <v>173</v>
      </c>
      <c r="D10" s="3" t="s">
        <v>40</v>
      </c>
      <c r="E10" s="3" t="s">
        <v>41</v>
      </c>
      <c r="F10" s="2" t="s">
        <v>61</v>
      </c>
      <c r="G10" s="3" t="s">
        <v>72</v>
      </c>
      <c r="H10" s="2" t="s">
        <v>51</v>
      </c>
      <c r="I10" s="2" t="s">
        <v>70</v>
      </c>
      <c r="J10" s="2" t="s">
        <v>79</v>
      </c>
      <c r="K10" s="2" t="s">
        <v>50</v>
      </c>
      <c r="L10" s="2" t="s">
        <v>111</v>
      </c>
      <c r="M10" s="3" t="s">
        <v>50</v>
      </c>
      <c r="N10" s="2" t="s">
        <v>50</v>
      </c>
      <c r="O10" s="3"/>
      <c r="P10" s="3"/>
      <c r="Q10" s="3"/>
      <c r="R10" s="3"/>
      <c r="S10" s="3"/>
      <c r="T10" s="3"/>
      <c r="U10" s="3"/>
      <c r="V10" s="3"/>
      <c r="W10" s="3">
        <v>0</v>
      </c>
      <c r="X10" s="3">
        <v>0</v>
      </c>
      <c r="Y10" s="3">
        <v>2</v>
      </c>
      <c r="Z10" s="3">
        <v>0</v>
      </c>
      <c r="AA10" s="3"/>
      <c r="AB10" s="3"/>
      <c r="AC10" s="3">
        <v>1</v>
      </c>
      <c r="AD10" s="3"/>
      <c r="AE10" s="3"/>
      <c r="AF10" s="3"/>
      <c r="AG10" s="3"/>
      <c r="AH10" s="3"/>
      <c r="AI10" s="3"/>
      <c r="AJ10" s="3"/>
      <c r="AK10" s="3"/>
      <c r="AL10" s="3"/>
      <c r="AM10" s="2" t="s">
        <v>51</v>
      </c>
      <c r="AN10" s="3" t="s">
        <v>122</v>
      </c>
      <c r="AO10" s="3" t="s">
        <v>51</v>
      </c>
      <c r="AP10" s="3" t="s">
        <v>51</v>
      </c>
      <c r="AQ10" s="3" t="s">
        <v>51</v>
      </c>
      <c r="AR10" t="s">
        <v>128</v>
      </c>
      <c r="AS10" t="s">
        <v>131</v>
      </c>
      <c r="AT10">
        <v>6</v>
      </c>
      <c r="AU10">
        <f t="shared" si="0"/>
        <v>2</v>
      </c>
      <c r="AV10" s="3" t="s">
        <v>137</v>
      </c>
      <c r="AW10" t="s">
        <v>51</v>
      </c>
      <c r="AY10">
        <f t="shared" si="1"/>
        <v>2</v>
      </c>
      <c r="AZ10">
        <f t="shared" si="2"/>
        <v>2</v>
      </c>
      <c r="BA10">
        <f t="shared" si="3"/>
        <v>1</v>
      </c>
      <c r="BB10">
        <f t="shared" si="4"/>
        <v>0</v>
      </c>
      <c r="BC10">
        <f t="shared" si="5"/>
        <v>0</v>
      </c>
      <c r="BD10">
        <f t="shared" si="6"/>
        <v>2</v>
      </c>
      <c r="BE10">
        <f t="shared" si="7"/>
        <v>2</v>
      </c>
      <c r="BF10" t="e">
        <f t="shared" si="11"/>
        <v>#DIV/0!</v>
      </c>
      <c r="BG10">
        <f t="shared" si="12"/>
        <v>1</v>
      </c>
      <c r="BH10" t="str">
        <f t="shared" si="8"/>
        <v>No</v>
      </c>
      <c r="BI10" t="str">
        <f t="shared" si="9"/>
        <v>Yes</v>
      </c>
      <c r="BJ10" t="str">
        <f t="shared" si="10"/>
        <v>No</v>
      </c>
    </row>
    <row r="11" spans="1:62" ht="43.5" x14ac:dyDescent="0.35">
      <c r="A11" s="2" t="s">
        <v>7</v>
      </c>
      <c r="B11" s="2">
        <v>1975</v>
      </c>
      <c r="C11" s="5" t="s">
        <v>35</v>
      </c>
      <c r="D11" s="3" t="s">
        <v>40</v>
      </c>
      <c r="E11" s="3" t="s">
        <v>41</v>
      </c>
      <c r="F11" s="2" t="s">
        <v>55</v>
      </c>
      <c r="G11" s="3" t="s">
        <v>73</v>
      </c>
      <c r="H11" s="2" t="s">
        <v>51</v>
      </c>
      <c r="I11" s="2" t="s">
        <v>77</v>
      </c>
      <c r="J11" s="2" t="s">
        <v>79</v>
      </c>
      <c r="K11" s="2" t="s">
        <v>50</v>
      </c>
      <c r="L11" s="2" t="s">
        <v>111</v>
      </c>
      <c r="M11" s="3" t="s">
        <v>50</v>
      </c>
      <c r="N11" s="2" t="s">
        <v>50</v>
      </c>
      <c r="O11" s="3"/>
      <c r="P11" s="3"/>
      <c r="Q11" s="3"/>
      <c r="R11" s="3"/>
      <c r="S11" s="3"/>
      <c r="T11" s="3"/>
      <c r="U11" s="3"/>
      <c r="V11" s="3"/>
      <c r="W11" s="3">
        <v>0</v>
      </c>
      <c r="X11" s="3">
        <v>0</v>
      </c>
      <c r="Y11" s="3">
        <v>1</v>
      </c>
      <c r="Z11" s="3">
        <v>0</v>
      </c>
      <c r="AA11" s="3"/>
      <c r="AB11" s="3"/>
      <c r="AC11" s="3">
        <v>1</v>
      </c>
      <c r="AD11" s="3"/>
      <c r="AE11" s="3"/>
      <c r="AF11" s="3"/>
      <c r="AG11" s="3"/>
      <c r="AH11" s="3"/>
      <c r="AI11" s="3"/>
      <c r="AJ11" s="3"/>
      <c r="AK11" s="3"/>
      <c r="AL11" s="3"/>
      <c r="AM11" s="2" t="s">
        <v>51</v>
      </c>
      <c r="AN11" s="3" t="s">
        <v>122</v>
      </c>
      <c r="AO11" s="3" t="s">
        <v>51</v>
      </c>
      <c r="AP11" s="3" t="s">
        <v>50</v>
      </c>
      <c r="AQ11" s="3" t="s">
        <v>51</v>
      </c>
      <c r="AR11" t="s">
        <v>127</v>
      </c>
      <c r="AS11" t="s">
        <v>130</v>
      </c>
      <c r="AT11">
        <v>2</v>
      </c>
      <c r="AU11">
        <f t="shared" si="0"/>
        <v>3</v>
      </c>
      <c r="AV11" s="3" t="s">
        <v>139</v>
      </c>
      <c r="AW11" t="s">
        <v>51</v>
      </c>
      <c r="AY11">
        <f t="shared" si="1"/>
        <v>1</v>
      </c>
      <c r="AZ11">
        <f t="shared" si="2"/>
        <v>1</v>
      </c>
      <c r="BA11">
        <f t="shared" si="3"/>
        <v>1</v>
      </c>
      <c r="BB11">
        <f t="shared" si="4"/>
        <v>0</v>
      </c>
      <c r="BC11">
        <f t="shared" si="5"/>
        <v>0</v>
      </c>
      <c r="BD11">
        <f t="shared" si="6"/>
        <v>1</v>
      </c>
      <c r="BE11">
        <f t="shared" si="7"/>
        <v>1</v>
      </c>
      <c r="BF11" t="e">
        <f t="shared" si="11"/>
        <v>#DIV/0!</v>
      </c>
      <c r="BG11">
        <f t="shared" si="12"/>
        <v>1</v>
      </c>
      <c r="BH11" t="str">
        <f t="shared" si="8"/>
        <v>No</v>
      </c>
      <c r="BI11" t="str">
        <f t="shared" si="9"/>
        <v>Yes</v>
      </c>
      <c r="BJ11" t="str">
        <f t="shared" si="10"/>
        <v>No</v>
      </c>
    </row>
    <row r="12" spans="1:62" ht="101.5" x14ac:dyDescent="0.35">
      <c r="A12" s="2" t="s">
        <v>116</v>
      </c>
      <c r="B12" s="2">
        <v>2019</v>
      </c>
      <c r="C12" s="2" t="s">
        <v>172</v>
      </c>
      <c r="D12" s="3" t="s">
        <v>44</v>
      </c>
      <c r="E12" s="3" t="s">
        <v>44</v>
      </c>
      <c r="F12" s="2" t="s">
        <v>117</v>
      </c>
      <c r="G12" s="3" t="s">
        <v>73</v>
      </c>
      <c r="H12" s="2" t="s">
        <v>51</v>
      </c>
      <c r="I12" s="2" t="s">
        <v>70</v>
      </c>
      <c r="J12" s="2" t="s">
        <v>79</v>
      </c>
      <c r="K12" s="2" t="s">
        <v>50</v>
      </c>
      <c r="L12" s="2" t="s">
        <v>111</v>
      </c>
      <c r="M12" s="3" t="s">
        <v>50</v>
      </c>
      <c r="N12" s="2" t="s">
        <v>51</v>
      </c>
      <c r="O12" s="3">
        <v>0</v>
      </c>
      <c r="P12" s="3">
        <v>0</v>
      </c>
      <c r="Q12" s="3">
        <v>5</v>
      </c>
      <c r="R12" s="3">
        <v>0</v>
      </c>
      <c r="S12" s="3"/>
      <c r="T12" s="3"/>
      <c r="U12" s="3">
        <v>0.4</v>
      </c>
      <c r="V12" s="3"/>
      <c r="W12" s="3">
        <v>0</v>
      </c>
      <c r="X12" s="3">
        <v>0</v>
      </c>
      <c r="Y12" s="3">
        <v>5</v>
      </c>
      <c r="Z12" s="3">
        <v>0</v>
      </c>
      <c r="AA12" s="3"/>
      <c r="AB12" s="3"/>
      <c r="AC12" s="3">
        <v>0</v>
      </c>
      <c r="AD12" s="3"/>
      <c r="AE12" s="3">
        <v>0</v>
      </c>
      <c r="AF12" s="3">
        <v>0</v>
      </c>
      <c r="AG12" s="3">
        <v>5</v>
      </c>
      <c r="AH12" s="3">
        <v>0</v>
      </c>
      <c r="AI12" s="3"/>
      <c r="AJ12" s="3"/>
      <c r="AK12" s="3">
        <v>0.4</v>
      </c>
      <c r="AL12" s="3"/>
      <c r="AM12" s="2" t="s">
        <v>50</v>
      </c>
      <c r="AN12" s="3" t="s">
        <v>122</v>
      </c>
      <c r="AO12" s="3" t="s">
        <v>50</v>
      </c>
      <c r="AP12" s="3" t="s">
        <v>50</v>
      </c>
      <c r="AQ12" s="3" t="s">
        <v>51</v>
      </c>
      <c r="AR12" t="s">
        <v>128</v>
      </c>
      <c r="AS12" t="s">
        <v>132</v>
      </c>
      <c r="AT12">
        <v>19</v>
      </c>
      <c r="AU12">
        <f t="shared" si="0"/>
        <v>5</v>
      </c>
      <c r="AV12" s="3" t="s">
        <v>137</v>
      </c>
      <c r="AW12" t="s">
        <v>51</v>
      </c>
      <c r="AY12">
        <f t="shared" si="1"/>
        <v>15</v>
      </c>
      <c r="AZ12">
        <f t="shared" si="2"/>
        <v>4</v>
      </c>
      <c r="BA12">
        <f t="shared" si="3"/>
        <v>0.26666666666666666</v>
      </c>
      <c r="BB12">
        <f t="shared" si="4"/>
        <v>5</v>
      </c>
      <c r="BC12">
        <f t="shared" si="5"/>
        <v>2</v>
      </c>
      <c r="BD12">
        <f t="shared" si="6"/>
        <v>5</v>
      </c>
      <c r="BE12">
        <f t="shared" si="7"/>
        <v>0</v>
      </c>
      <c r="BF12">
        <f t="shared" si="11"/>
        <v>0.4</v>
      </c>
      <c r="BG12">
        <f t="shared" si="12"/>
        <v>0</v>
      </c>
      <c r="BH12" t="str">
        <f t="shared" si="8"/>
        <v>Yes</v>
      </c>
      <c r="BI12" t="str">
        <f t="shared" si="9"/>
        <v>Yes</v>
      </c>
      <c r="BJ12" t="str">
        <f t="shared" si="10"/>
        <v>Yes</v>
      </c>
    </row>
    <row r="13" spans="1:62" ht="29" x14ac:dyDescent="0.35">
      <c r="A13" s="2" t="s">
        <v>25</v>
      </c>
      <c r="B13" s="2">
        <v>2009</v>
      </c>
      <c r="C13" s="2" t="s">
        <v>173</v>
      </c>
      <c r="D13" s="3" t="s">
        <v>41</v>
      </c>
      <c r="E13" s="3" t="s">
        <v>41</v>
      </c>
      <c r="F13" s="2" t="s">
        <v>45</v>
      </c>
      <c r="G13" s="3" t="s">
        <v>74</v>
      </c>
      <c r="H13" s="2" t="s">
        <v>50</v>
      </c>
      <c r="I13" s="2" t="s">
        <v>77</v>
      </c>
      <c r="J13" s="2" t="s">
        <v>79</v>
      </c>
      <c r="K13" s="2" t="s">
        <v>51</v>
      </c>
      <c r="L13" s="2" t="s">
        <v>115</v>
      </c>
      <c r="M13" s="3" t="s">
        <v>50</v>
      </c>
      <c r="N13" s="2" t="s">
        <v>51</v>
      </c>
      <c r="O13" s="3">
        <v>0</v>
      </c>
      <c r="P13" s="3">
        <v>1</v>
      </c>
      <c r="Q13" s="3">
        <v>0</v>
      </c>
      <c r="R13" s="3">
        <v>0</v>
      </c>
      <c r="S13" s="3"/>
      <c r="T13" s="3">
        <v>1</v>
      </c>
      <c r="U13" s="3"/>
      <c r="V13" s="3"/>
      <c r="W13" s="3">
        <v>0</v>
      </c>
      <c r="X13" s="3">
        <v>1</v>
      </c>
      <c r="Y13" s="3">
        <v>0</v>
      </c>
      <c r="Z13" s="3">
        <v>0</v>
      </c>
      <c r="AA13" s="3"/>
      <c r="AB13" s="3">
        <v>1</v>
      </c>
      <c r="AC13" s="3"/>
      <c r="AD13" s="3"/>
      <c r="AE13" s="3"/>
      <c r="AF13" s="3"/>
      <c r="AG13" s="3"/>
      <c r="AH13" s="3"/>
      <c r="AI13" s="3"/>
      <c r="AJ13" s="3"/>
      <c r="AK13" s="3"/>
      <c r="AL13" s="3"/>
      <c r="AM13" s="2" t="s">
        <v>50</v>
      </c>
      <c r="AN13" s="3" t="s">
        <v>122</v>
      </c>
      <c r="AO13" s="3" t="s">
        <v>51</v>
      </c>
      <c r="AP13" s="3" t="s">
        <v>50</v>
      </c>
      <c r="AQ13" s="3" t="s">
        <v>51</v>
      </c>
      <c r="AR13" t="s">
        <v>128</v>
      </c>
      <c r="AS13" t="s">
        <v>132</v>
      </c>
      <c r="AT13">
        <v>3</v>
      </c>
      <c r="AU13">
        <f t="shared" si="0"/>
        <v>3</v>
      </c>
      <c r="AV13" s="3" t="s">
        <v>137</v>
      </c>
      <c r="AW13" t="s">
        <v>50</v>
      </c>
      <c r="AX13" t="s">
        <v>147</v>
      </c>
      <c r="AY13">
        <f t="shared" si="1"/>
        <v>2</v>
      </c>
      <c r="AZ13">
        <f t="shared" si="2"/>
        <v>2</v>
      </c>
      <c r="BA13">
        <f t="shared" si="3"/>
        <v>1</v>
      </c>
      <c r="BB13">
        <f t="shared" si="4"/>
        <v>1</v>
      </c>
      <c r="BC13">
        <f t="shared" si="5"/>
        <v>1</v>
      </c>
      <c r="BD13">
        <f t="shared" si="6"/>
        <v>1</v>
      </c>
      <c r="BE13">
        <f t="shared" si="7"/>
        <v>1</v>
      </c>
      <c r="BF13">
        <f t="shared" si="11"/>
        <v>1</v>
      </c>
      <c r="BG13">
        <f t="shared" si="12"/>
        <v>1</v>
      </c>
      <c r="BH13" t="str">
        <f t="shared" si="8"/>
        <v>Yes</v>
      </c>
      <c r="BI13" t="str">
        <f t="shared" si="9"/>
        <v>Yes</v>
      </c>
      <c r="BJ13" t="str">
        <f t="shared" si="10"/>
        <v>No</v>
      </c>
    </row>
    <row r="14" spans="1:62" ht="72.5" x14ac:dyDescent="0.35">
      <c r="A14" s="2" t="s">
        <v>9</v>
      </c>
      <c r="B14" s="2">
        <v>1979</v>
      </c>
      <c r="C14" s="5" t="s">
        <v>35</v>
      </c>
      <c r="D14" s="3" t="s">
        <v>41</v>
      </c>
      <c r="E14" s="3" t="s">
        <v>41</v>
      </c>
      <c r="F14" s="2" t="s">
        <v>58</v>
      </c>
      <c r="G14" s="3" t="s">
        <v>72</v>
      </c>
      <c r="H14" s="2" t="s">
        <v>51</v>
      </c>
      <c r="I14" s="2" t="s">
        <v>77</v>
      </c>
      <c r="J14" s="2" t="s">
        <v>79</v>
      </c>
      <c r="K14" s="2" t="s">
        <v>51</v>
      </c>
      <c r="L14" s="2" t="s">
        <v>110</v>
      </c>
      <c r="M14" s="3" t="s">
        <v>51</v>
      </c>
      <c r="N14" s="2" t="s">
        <v>50</v>
      </c>
      <c r="O14" s="3">
        <v>2</v>
      </c>
      <c r="P14" s="3">
        <v>1</v>
      </c>
      <c r="Q14" s="3">
        <v>0</v>
      </c>
      <c r="R14" s="3">
        <v>0</v>
      </c>
      <c r="S14" s="3">
        <v>1</v>
      </c>
      <c r="T14" s="3">
        <v>1</v>
      </c>
      <c r="U14" s="3"/>
      <c r="V14" s="3"/>
      <c r="W14" s="3">
        <v>2</v>
      </c>
      <c r="X14" s="3">
        <v>1</v>
      </c>
      <c r="Y14" s="3">
        <v>0</v>
      </c>
      <c r="Z14" s="3">
        <v>0</v>
      </c>
      <c r="AA14" s="3">
        <v>1</v>
      </c>
      <c r="AB14" s="3">
        <v>1</v>
      </c>
      <c r="AC14" s="3"/>
      <c r="AD14" s="3"/>
      <c r="AE14" s="3"/>
      <c r="AF14" s="3"/>
      <c r="AG14" s="3"/>
      <c r="AH14" s="3"/>
      <c r="AI14" s="3"/>
      <c r="AJ14" s="3"/>
      <c r="AK14" s="3"/>
      <c r="AL14" s="3"/>
      <c r="AM14" s="2" t="s">
        <v>51</v>
      </c>
      <c r="AN14" s="3" t="s">
        <v>122</v>
      </c>
      <c r="AO14" s="3" t="s">
        <v>51</v>
      </c>
      <c r="AP14" s="3" t="s">
        <v>50</v>
      </c>
      <c r="AQ14" s="3" t="s">
        <v>51</v>
      </c>
      <c r="AR14" t="s">
        <v>127</v>
      </c>
      <c r="AS14" t="s">
        <v>130</v>
      </c>
      <c r="AT14">
        <v>4</v>
      </c>
      <c r="AU14">
        <f t="shared" si="0"/>
        <v>2</v>
      </c>
      <c r="AV14" s="3" t="s">
        <v>36</v>
      </c>
      <c r="AW14" t="s">
        <v>51</v>
      </c>
      <c r="AY14">
        <f t="shared" si="1"/>
        <v>6</v>
      </c>
      <c r="AZ14">
        <f t="shared" si="2"/>
        <v>6</v>
      </c>
      <c r="BA14">
        <f t="shared" si="3"/>
        <v>1</v>
      </c>
      <c r="BB14">
        <f t="shared" si="4"/>
        <v>3</v>
      </c>
      <c r="BC14">
        <f t="shared" si="5"/>
        <v>3</v>
      </c>
      <c r="BD14">
        <f t="shared" si="6"/>
        <v>3</v>
      </c>
      <c r="BE14">
        <f t="shared" si="7"/>
        <v>3</v>
      </c>
      <c r="BF14">
        <f t="shared" si="11"/>
        <v>1</v>
      </c>
      <c r="BG14">
        <f t="shared" si="12"/>
        <v>1</v>
      </c>
      <c r="BH14" t="str">
        <f t="shared" si="8"/>
        <v>Yes</v>
      </c>
      <c r="BI14" t="str">
        <f t="shared" si="9"/>
        <v>Yes</v>
      </c>
      <c r="BJ14" t="str">
        <f t="shared" si="10"/>
        <v>No</v>
      </c>
    </row>
    <row r="15" spans="1:62" ht="29" x14ac:dyDescent="0.35">
      <c r="A15" s="2" t="s">
        <v>2</v>
      </c>
      <c r="B15" s="2">
        <v>1954</v>
      </c>
      <c r="C15" s="5" t="s">
        <v>35</v>
      </c>
      <c r="D15" s="3" t="s">
        <v>38</v>
      </c>
      <c r="E15" s="3" t="s">
        <v>41</v>
      </c>
      <c r="F15" s="2" t="s">
        <v>53</v>
      </c>
      <c r="G15" s="3" t="s">
        <v>72</v>
      </c>
      <c r="H15" s="2" t="s">
        <v>51</v>
      </c>
      <c r="I15" s="2" t="s">
        <v>77</v>
      </c>
      <c r="J15" s="2" t="s">
        <v>79</v>
      </c>
      <c r="K15" s="2" t="s">
        <v>50</v>
      </c>
      <c r="L15" s="2" t="s">
        <v>111</v>
      </c>
      <c r="M15" s="3" t="s">
        <v>51</v>
      </c>
      <c r="N15" s="2" t="s">
        <v>50</v>
      </c>
      <c r="W15" s="3"/>
      <c r="X15" s="3"/>
      <c r="Y15" s="3"/>
      <c r="Z15" s="3"/>
      <c r="AA15" s="3"/>
      <c r="AB15" s="3"/>
      <c r="AC15" s="3"/>
      <c r="AD15" s="3"/>
      <c r="AE15" s="3"/>
      <c r="AF15" s="3"/>
      <c r="AG15" s="3"/>
      <c r="AH15" s="3"/>
      <c r="AI15" s="3"/>
      <c r="AJ15" s="3"/>
      <c r="AK15" s="3"/>
      <c r="AL15" s="3"/>
      <c r="AM15" s="2" t="s">
        <v>51</v>
      </c>
      <c r="AN15" s="3" t="s">
        <v>120</v>
      </c>
      <c r="AO15" s="3" t="s">
        <v>51</v>
      </c>
      <c r="AP15" s="3" t="s">
        <v>51</v>
      </c>
      <c r="AQ15" s="3" t="s">
        <v>51</v>
      </c>
      <c r="AR15" t="s">
        <v>127</v>
      </c>
      <c r="AS15" t="s">
        <v>130</v>
      </c>
      <c r="AT15">
        <v>0</v>
      </c>
      <c r="AU15">
        <f t="shared" si="0"/>
        <v>2</v>
      </c>
      <c r="AV15" s="3" t="s">
        <v>36</v>
      </c>
      <c r="AW15" t="s">
        <v>51</v>
      </c>
      <c r="AY15">
        <f t="shared" si="1"/>
        <v>0</v>
      </c>
      <c r="AZ15">
        <f t="shared" si="2"/>
        <v>0</v>
      </c>
      <c r="BA15" t="e">
        <f t="shared" si="3"/>
        <v>#DIV/0!</v>
      </c>
      <c r="BB15">
        <f t="shared" si="4"/>
        <v>0</v>
      </c>
      <c r="BC15">
        <f t="shared" si="5"/>
        <v>0</v>
      </c>
      <c r="BD15">
        <f t="shared" si="6"/>
        <v>0</v>
      </c>
      <c r="BE15">
        <f t="shared" si="7"/>
        <v>0</v>
      </c>
      <c r="BF15" t="e">
        <f t="shared" si="11"/>
        <v>#DIV/0!</v>
      </c>
      <c r="BG15" t="e">
        <f t="shared" si="12"/>
        <v>#DIV/0!</v>
      </c>
      <c r="BH15" t="str">
        <f t="shared" si="8"/>
        <v>Yes</v>
      </c>
      <c r="BI15" t="str">
        <f t="shared" si="9"/>
        <v>No</v>
      </c>
      <c r="BJ15" t="str">
        <f t="shared" si="10"/>
        <v>No</v>
      </c>
    </row>
    <row r="16" spans="1:62" ht="29" x14ac:dyDescent="0.35">
      <c r="A16" s="2" t="s">
        <v>15</v>
      </c>
      <c r="B16" s="2">
        <v>1990</v>
      </c>
      <c r="C16" s="2" t="s">
        <v>173</v>
      </c>
      <c r="D16" s="3" t="s">
        <v>41</v>
      </c>
      <c r="E16" s="3" t="s">
        <v>41</v>
      </c>
      <c r="F16" s="2" t="s">
        <v>61</v>
      </c>
      <c r="G16" s="3" t="s">
        <v>72</v>
      </c>
      <c r="H16" s="2" t="s">
        <v>51</v>
      </c>
      <c r="I16" s="2" t="s">
        <v>70</v>
      </c>
      <c r="J16" s="2" t="s">
        <v>79</v>
      </c>
      <c r="K16" s="2" t="s">
        <v>51</v>
      </c>
      <c r="L16" s="2" t="s">
        <v>111</v>
      </c>
      <c r="M16" s="3" t="s">
        <v>50</v>
      </c>
      <c r="N16" s="2" t="s">
        <v>50</v>
      </c>
      <c r="O16" s="3">
        <v>0</v>
      </c>
      <c r="P16" s="3">
        <v>0</v>
      </c>
      <c r="Q16" s="3">
        <v>1</v>
      </c>
      <c r="R16" s="3">
        <v>0</v>
      </c>
      <c r="S16" s="3"/>
      <c r="T16" s="3"/>
      <c r="U16" s="3">
        <v>1</v>
      </c>
      <c r="V16" s="3"/>
      <c r="W16" s="3">
        <v>0</v>
      </c>
      <c r="X16" s="3">
        <v>0</v>
      </c>
      <c r="Y16" s="3">
        <v>1</v>
      </c>
      <c r="Z16" s="3">
        <v>0</v>
      </c>
      <c r="AA16" s="3"/>
      <c r="AB16" s="3"/>
      <c r="AC16" s="3">
        <v>1</v>
      </c>
      <c r="AD16" s="3"/>
      <c r="AE16" s="3"/>
      <c r="AF16" s="3"/>
      <c r="AG16" s="3"/>
      <c r="AH16" s="3"/>
      <c r="AI16" s="3"/>
      <c r="AJ16" s="3"/>
      <c r="AK16" s="3"/>
      <c r="AL16" s="3"/>
      <c r="AM16" s="2" t="s">
        <v>51</v>
      </c>
      <c r="AN16" s="3" t="s">
        <v>120</v>
      </c>
      <c r="AO16" s="3" t="s">
        <v>51</v>
      </c>
      <c r="AP16" s="3" t="s">
        <v>51</v>
      </c>
      <c r="AQ16" s="3" t="s">
        <v>51</v>
      </c>
      <c r="AR16" t="s">
        <v>128</v>
      </c>
      <c r="AS16" t="s">
        <v>131</v>
      </c>
      <c r="AT16">
        <v>4</v>
      </c>
      <c r="AU16">
        <f t="shared" si="0"/>
        <v>1</v>
      </c>
      <c r="AV16" s="3" t="s">
        <v>36</v>
      </c>
      <c r="AW16" t="s">
        <v>51</v>
      </c>
      <c r="AY16">
        <f t="shared" si="1"/>
        <v>2</v>
      </c>
      <c r="AZ16">
        <f t="shared" si="2"/>
        <v>2</v>
      </c>
      <c r="BA16">
        <f t="shared" si="3"/>
        <v>1</v>
      </c>
      <c r="BB16">
        <f t="shared" si="4"/>
        <v>1</v>
      </c>
      <c r="BC16">
        <f t="shared" si="5"/>
        <v>1</v>
      </c>
      <c r="BD16">
        <f t="shared" si="6"/>
        <v>1</v>
      </c>
      <c r="BE16">
        <f t="shared" si="7"/>
        <v>1</v>
      </c>
      <c r="BF16">
        <f t="shared" si="11"/>
        <v>1</v>
      </c>
      <c r="BG16">
        <f t="shared" si="12"/>
        <v>1</v>
      </c>
      <c r="BH16" t="str">
        <f t="shared" si="8"/>
        <v>Yes</v>
      </c>
      <c r="BI16" t="str">
        <f t="shared" si="9"/>
        <v>Yes</v>
      </c>
      <c r="BJ16" t="str">
        <f t="shared" si="10"/>
        <v>No</v>
      </c>
    </row>
    <row r="17" spans="1:62" ht="87" x14ac:dyDescent="0.35">
      <c r="A17" s="2" t="s">
        <v>21</v>
      </c>
      <c r="B17" s="2">
        <v>2001</v>
      </c>
      <c r="C17" s="5" t="s">
        <v>172</v>
      </c>
      <c r="D17" s="3" t="s">
        <v>41</v>
      </c>
      <c r="E17" s="3" t="s">
        <v>41</v>
      </c>
      <c r="F17" s="2" t="s">
        <v>64</v>
      </c>
      <c r="G17" s="3" t="s">
        <v>72</v>
      </c>
      <c r="H17" s="2" t="s">
        <v>51</v>
      </c>
      <c r="I17" s="2" t="s">
        <v>70</v>
      </c>
      <c r="J17" s="2" t="s">
        <v>79</v>
      </c>
      <c r="K17" s="2" t="s">
        <v>51</v>
      </c>
      <c r="L17" s="2" t="s">
        <v>111</v>
      </c>
      <c r="M17" s="3" t="s">
        <v>51</v>
      </c>
      <c r="N17" s="2" t="s">
        <v>50</v>
      </c>
      <c r="O17" s="3">
        <v>0</v>
      </c>
      <c r="P17" s="3">
        <v>0</v>
      </c>
      <c r="Q17" s="3">
        <v>1</v>
      </c>
      <c r="R17" s="3">
        <v>0</v>
      </c>
      <c r="S17" s="3"/>
      <c r="T17" s="3"/>
      <c r="U17" s="3">
        <v>0</v>
      </c>
      <c r="V17" s="3"/>
      <c r="W17" s="3">
        <v>0</v>
      </c>
      <c r="X17" s="3">
        <v>0</v>
      </c>
      <c r="Y17" s="3">
        <v>1</v>
      </c>
      <c r="Z17" s="3">
        <v>0</v>
      </c>
      <c r="AA17" s="3"/>
      <c r="AB17" s="3"/>
      <c r="AC17" s="3">
        <v>0</v>
      </c>
      <c r="AD17" s="3"/>
      <c r="AE17" s="3"/>
      <c r="AF17" s="3"/>
      <c r="AG17" s="3"/>
      <c r="AH17" s="3"/>
      <c r="AI17" s="3"/>
      <c r="AJ17" s="3"/>
      <c r="AK17" s="3"/>
      <c r="AL17" s="3"/>
      <c r="AM17" s="2" t="s">
        <v>51</v>
      </c>
      <c r="AN17" s="3" t="s">
        <v>122</v>
      </c>
      <c r="AO17" s="3" t="s">
        <v>51</v>
      </c>
      <c r="AP17" s="3" t="s">
        <v>51</v>
      </c>
      <c r="AQ17" s="3" t="s">
        <v>51</v>
      </c>
      <c r="AR17" t="s">
        <v>128</v>
      </c>
      <c r="AS17" t="s">
        <v>132</v>
      </c>
      <c r="AT17">
        <v>4</v>
      </c>
      <c r="AU17">
        <f t="shared" si="0"/>
        <v>1</v>
      </c>
      <c r="AV17" s="3" t="s">
        <v>36</v>
      </c>
      <c r="AW17" t="s">
        <v>51</v>
      </c>
      <c r="AY17">
        <f t="shared" si="1"/>
        <v>2</v>
      </c>
      <c r="AZ17">
        <f t="shared" si="2"/>
        <v>0</v>
      </c>
      <c r="BA17">
        <f t="shared" si="3"/>
        <v>0</v>
      </c>
      <c r="BB17">
        <f t="shared" si="4"/>
        <v>1</v>
      </c>
      <c r="BC17">
        <f t="shared" si="5"/>
        <v>0</v>
      </c>
      <c r="BD17">
        <f t="shared" si="6"/>
        <v>1</v>
      </c>
      <c r="BE17">
        <f t="shared" si="7"/>
        <v>0</v>
      </c>
      <c r="BF17">
        <f t="shared" si="11"/>
        <v>0</v>
      </c>
      <c r="BG17">
        <f t="shared" si="12"/>
        <v>0</v>
      </c>
      <c r="BH17" t="str">
        <f t="shared" si="8"/>
        <v>Yes</v>
      </c>
      <c r="BI17" t="str">
        <f t="shared" si="9"/>
        <v>Yes</v>
      </c>
      <c r="BJ17" t="str">
        <f t="shared" si="10"/>
        <v>No</v>
      </c>
    </row>
    <row r="18" spans="1:62" ht="58" x14ac:dyDescent="0.35">
      <c r="A18" s="2" t="s">
        <v>19</v>
      </c>
      <c r="B18" s="2">
        <v>1998</v>
      </c>
      <c r="C18" s="2" t="s">
        <v>173</v>
      </c>
      <c r="D18" s="3" t="s">
        <v>41</v>
      </c>
      <c r="E18" s="3" t="s">
        <v>41</v>
      </c>
      <c r="F18" s="2" t="s">
        <v>62</v>
      </c>
      <c r="G18" s="3" t="s">
        <v>72</v>
      </c>
      <c r="H18" s="2" t="s">
        <v>51</v>
      </c>
      <c r="I18" s="2" t="s">
        <v>70</v>
      </c>
      <c r="J18" s="2" t="s">
        <v>79</v>
      </c>
      <c r="K18" s="2" t="s">
        <v>51</v>
      </c>
      <c r="L18" s="2" t="s">
        <v>113</v>
      </c>
      <c r="M18" s="3" t="s">
        <v>50</v>
      </c>
      <c r="N18" s="2" t="s">
        <v>50</v>
      </c>
      <c r="O18" s="3">
        <v>2</v>
      </c>
      <c r="P18" s="3">
        <v>0</v>
      </c>
      <c r="Q18" s="3">
        <v>1</v>
      </c>
      <c r="R18" s="3">
        <v>0</v>
      </c>
      <c r="S18" s="3">
        <v>0</v>
      </c>
      <c r="T18" s="3"/>
      <c r="U18" s="3">
        <v>0</v>
      </c>
      <c r="V18" s="3"/>
      <c r="W18" s="3">
        <v>2</v>
      </c>
      <c r="X18" s="3">
        <v>0</v>
      </c>
      <c r="Y18" s="3">
        <v>1</v>
      </c>
      <c r="Z18" s="3">
        <v>0</v>
      </c>
      <c r="AA18" s="3">
        <v>0</v>
      </c>
      <c r="AB18" s="3"/>
      <c r="AC18" s="3">
        <v>1</v>
      </c>
      <c r="AD18" s="3"/>
      <c r="AE18" s="3"/>
      <c r="AF18" s="3"/>
      <c r="AG18" s="3"/>
      <c r="AH18" s="3"/>
      <c r="AI18" s="3"/>
      <c r="AJ18" s="3"/>
      <c r="AK18" s="3"/>
      <c r="AL18" s="3"/>
      <c r="AM18" s="2" t="s">
        <v>51</v>
      </c>
      <c r="AN18" s="3" t="s">
        <v>122</v>
      </c>
      <c r="AO18" s="3" t="s">
        <v>51</v>
      </c>
      <c r="AP18" s="3" t="s">
        <v>51</v>
      </c>
      <c r="AQ18" s="3" t="s">
        <v>51</v>
      </c>
      <c r="AR18" t="s">
        <v>128</v>
      </c>
      <c r="AS18" t="s">
        <v>131</v>
      </c>
      <c r="AT18">
        <v>5</v>
      </c>
      <c r="AU18">
        <f t="shared" si="0"/>
        <v>1</v>
      </c>
      <c r="AV18" s="3" t="s">
        <v>137</v>
      </c>
      <c r="AW18" t="s">
        <v>51</v>
      </c>
      <c r="AY18">
        <f t="shared" si="1"/>
        <v>6</v>
      </c>
      <c r="AZ18">
        <f t="shared" si="2"/>
        <v>1</v>
      </c>
      <c r="BA18">
        <f t="shared" si="3"/>
        <v>0.16666666666666666</v>
      </c>
      <c r="BB18">
        <f t="shared" si="4"/>
        <v>3</v>
      </c>
      <c r="BC18">
        <f t="shared" si="5"/>
        <v>0</v>
      </c>
      <c r="BD18">
        <f t="shared" si="6"/>
        <v>3</v>
      </c>
      <c r="BE18">
        <f t="shared" si="7"/>
        <v>1</v>
      </c>
      <c r="BF18">
        <f t="shared" si="11"/>
        <v>0</v>
      </c>
      <c r="BG18">
        <f t="shared" si="12"/>
        <v>0.33333333333333331</v>
      </c>
      <c r="BH18" t="str">
        <f t="shared" si="8"/>
        <v>Yes</v>
      </c>
      <c r="BI18" t="str">
        <f t="shared" si="9"/>
        <v>Yes</v>
      </c>
      <c r="BJ18" t="str">
        <f t="shared" si="10"/>
        <v>No</v>
      </c>
    </row>
    <row r="19" spans="1:62" ht="101.5" x14ac:dyDescent="0.35">
      <c r="A19" s="2" t="s">
        <v>32</v>
      </c>
      <c r="B19" s="2">
        <v>2016</v>
      </c>
      <c r="C19" s="2" t="s">
        <v>172</v>
      </c>
      <c r="D19" s="3" t="s">
        <v>44</v>
      </c>
      <c r="E19" s="3" t="s">
        <v>44</v>
      </c>
      <c r="F19" s="2" t="s">
        <v>45</v>
      </c>
      <c r="G19" s="3" t="s">
        <v>74</v>
      </c>
      <c r="H19" s="2" t="s">
        <v>50</v>
      </c>
      <c r="I19" s="2" t="s">
        <v>77</v>
      </c>
      <c r="J19" s="2" t="s">
        <v>79</v>
      </c>
      <c r="K19" s="2" t="s">
        <v>51</v>
      </c>
      <c r="L19" s="2" t="s">
        <v>111</v>
      </c>
      <c r="M19" s="3" t="s">
        <v>50</v>
      </c>
      <c r="N19" s="2" t="s">
        <v>51</v>
      </c>
      <c r="O19" s="3">
        <v>0</v>
      </c>
      <c r="P19" s="3">
        <v>0</v>
      </c>
      <c r="Q19" s="3">
        <v>6</v>
      </c>
      <c r="R19" s="3">
        <v>0</v>
      </c>
      <c r="S19" s="3"/>
      <c r="T19" s="3"/>
      <c r="U19" s="3">
        <v>0.33</v>
      </c>
      <c r="V19" s="3"/>
      <c r="W19" s="3">
        <v>0</v>
      </c>
      <c r="X19" s="3">
        <v>0</v>
      </c>
      <c r="Y19" s="3">
        <v>6</v>
      </c>
      <c r="Z19" s="3">
        <v>0</v>
      </c>
      <c r="AA19" s="3"/>
      <c r="AB19" s="3"/>
      <c r="AC19" s="3"/>
      <c r="AD19" s="3"/>
      <c r="AE19" s="3">
        <v>0</v>
      </c>
      <c r="AF19" s="3">
        <v>0</v>
      </c>
      <c r="AG19" s="3">
        <v>6</v>
      </c>
      <c r="AH19" s="3">
        <v>0</v>
      </c>
      <c r="AI19" s="3"/>
      <c r="AJ19" s="3"/>
      <c r="AK19" s="3">
        <v>0.17</v>
      </c>
      <c r="AL19" s="3"/>
      <c r="AM19" s="2" t="s">
        <v>50</v>
      </c>
      <c r="AN19" s="3" t="s">
        <v>122</v>
      </c>
      <c r="AO19" s="3" t="s">
        <v>51</v>
      </c>
      <c r="AP19" s="3" t="s">
        <v>51</v>
      </c>
      <c r="AQ19" s="3" t="s">
        <v>51</v>
      </c>
      <c r="AR19" t="s">
        <v>128</v>
      </c>
      <c r="AS19" t="s">
        <v>132</v>
      </c>
      <c r="AT19">
        <v>8</v>
      </c>
      <c r="AU19">
        <f t="shared" si="0"/>
        <v>2</v>
      </c>
      <c r="AV19" s="3" t="s">
        <v>137</v>
      </c>
      <c r="AW19" t="s">
        <v>50</v>
      </c>
      <c r="AX19" t="s">
        <v>148</v>
      </c>
      <c r="AY19">
        <f t="shared" si="1"/>
        <v>18</v>
      </c>
      <c r="AZ19">
        <f t="shared" si="2"/>
        <v>3</v>
      </c>
      <c r="BA19">
        <f t="shared" si="3"/>
        <v>0.16666666666666666</v>
      </c>
      <c r="BB19">
        <f t="shared" si="4"/>
        <v>6</v>
      </c>
      <c r="BC19">
        <f t="shared" si="5"/>
        <v>1.98</v>
      </c>
      <c r="BD19">
        <f t="shared" si="6"/>
        <v>6</v>
      </c>
      <c r="BE19">
        <f t="shared" si="7"/>
        <v>0</v>
      </c>
      <c r="BF19">
        <f t="shared" si="11"/>
        <v>0.33</v>
      </c>
      <c r="BG19">
        <f t="shared" si="12"/>
        <v>0</v>
      </c>
      <c r="BH19" t="str">
        <f t="shared" si="8"/>
        <v>Yes</v>
      </c>
      <c r="BI19" t="str">
        <f t="shared" si="9"/>
        <v>Yes</v>
      </c>
      <c r="BJ19" t="str">
        <f t="shared" si="10"/>
        <v>Yes</v>
      </c>
    </row>
    <row r="20" spans="1:62" ht="87" x14ac:dyDescent="0.35">
      <c r="A20" s="2" t="s">
        <v>20</v>
      </c>
      <c r="B20" s="2">
        <v>1998</v>
      </c>
      <c r="C20" s="2" t="s">
        <v>173</v>
      </c>
      <c r="D20" s="3" t="s">
        <v>42</v>
      </c>
      <c r="E20" s="3" t="s">
        <v>41</v>
      </c>
      <c r="F20" s="2" t="s">
        <v>63</v>
      </c>
      <c r="G20" s="3" t="s">
        <v>72</v>
      </c>
      <c r="H20" s="2" t="s">
        <v>51</v>
      </c>
      <c r="I20" s="2" t="s">
        <v>70</v>
      </c>
      <c r="J20" s="2" t="s">
        <v>79</v>
      </c>
      <c r="K20" s="2" t="s">
        <v>50</v>
      </c>
      <c r="L20" s="2" t="s">
        <v>112</v>
      </c>
      <c r="M20" s="3" t="s">
        <v>51</v>
      </c>
      <c r="N20" s="2" t="s">
        <v>50</v>
      </c>
      <c r="O20" s="3">
        <v>21</v>
      </c>
      <c r="P20" s="3">
        <v>0</v>
      </c>
      <c r="Q20" s="3">
        <v>0</v>
      </c>
      <c r="R20" s="3">
        <v>0</v>
      </c>
      <c r="S20" s="3">
        <v>0.47599999999999998</v>
      </c>
      <c r="T20" s="3"/>
      <c r="U20" s="3"/>
      <c r="V20" s="3"/>
      <c r="W20" s="3">
        <v>21</v>
      </c>
      <c r="X20" s="3">
        <v>0</v>
      </c>
      <c r="Y20" s="3">
        <v>0</v>
      </c>
      <c r="Z20" s="3">
        <v>0</v>
      </c>
      <c r="AA20" s="3">
        <v>4.8000000000000001E-2</v>
      </c>
      <c r="AB20" s="3"/>
      <c r="AC20" s="3"/>
      <c r="AD20" s="3"/>
      <c r="AE20" s="3">
        <v>21</v>
      </c>
      <c r="AF20" s="3">
        <v>0</v>
      </c>
      <c r="AG20" s="3">
        <v>0</v>
      </c>
      <c r="AH20" s="3">
        <v>0</v>
      </c>
      <c r="AI20" s="3">
        <v>0.33</v>
      </c>
      <c r="AJ20" s="3"/>
      <c r="AK20" s="3"/>
      <c r="AL20" s="3"/>
      <c r="AM20" s="2" t="s">
        <v>50</v>
      </c>
      <c r="AN20" s="3" t="s">
        <v>122</v>
      </c>
      <c r="AO20" s="3" t="s">
        <v>51</v>
      </c>
      <c r="AP20" s="3" t="s">
        <v>50</v>
      </c>
      <c r="AQ20" s="3" t="s">
        <v>51</v>
      </c>
      <c r="AR20" t="s">
        <v>128</v>
      </c>
      <c r="AS20" t="s">
        <v>131</v>
      </c>
      <c r="AT20">
        <v>6</v>
      </c>
      <c r="AU20">
        <f t="shared" si="0"/>
        <v>4</v>
      </c>
      <c r="AV20" s="3" t="s">
        <v>137</v>
      </c>
      <c r="AW20" t="s">
        <v>51</v>
      </c>
      <c r="AY20">
        <f t="shared" si="1"/>
        <v>63</v>
      </c>
      <c r="AZ20">
        <f t="shared" si="2"/>
        <v>17.933999999999997</v>
      </c>
      <c r="BA20">
        <f t="shared" si="3"/>
        <v>0.28466666666666662</v>
      </c>
      <c r="BB20">
        <f t="shared" si="4"/>
        <v>21</v>
      </c>
      <c r="BC20">
        <f t="shared" si="5"/>
        <v>9.9959999999999987</v>
      </c>
      <c r="BD20">
        <f t="shared" si="6"/>
        <v>21</v>
      </c>
      <c r="BE20">
        <f t="shared" si="7"/>
        <v>1.008</v>
      </c>
      <c r="BF20">
        <f t="shared" si="11"/>
        <v>0.47599999999999992</v>
      </c>
      <c r="BG20">
        <f t="shared" si="12"/>
        <v>4.8000000000000001E-2</v>
      </c>
      <c r="BH20" t="str">
        <f t="shared" si="8"/>
        <v>Yes</v>
      </c>
      <c r="BI20" t="str">
        <f t="shared" si="9"/>
        <v>Yes</v>
      </c>
      <c r="BJ20" t="str">
        <f t="shared" si="10"/>
        <v>No</v>
      </c>
    </row>
    <row r="21" spans="1:62" ht="58" x14ac:dyDescent="0.35">
      <c r="A21" s="2" t="s">
        <v>26</v>
      </c>
      <c r="B21" s="2">
        <v>2009</v>
      </c>
      <c r="C21" s="2" t="s">
        <v>172</v>
      </c>
      <c r="D21" s="3" t="s">
        <v>43</v>
      </c>
      <c r="E21" s="3" t="s">
        <v>43</v>
      </c>
      <c r="F21" s="2" t="s">
        <v>67</v>
      </c>
      <c r="G21" s="3" t="s">
        <v>74</v>
      </c>
      <c r="H21" s="2" t="s">
        <v>51</v>
      </c>
      <c r="I21" s="2" t="s">
        <v>70</v>
      </c>
      <c r="J21" s="2" t="s">
        <v>79</v>
      </c>
      <c r="K21" s="2" t="s">
        <v>51</v>
      </c>
      <c r="L21" s="2" t="s">
        <v>111</v>
      </c>
      <c r="M21" s="3" t="s">
        <v>51</v>
      </c>
      <c r="N21" s="2" t="s">
        <v>50</v>
      </c>
      <c r="O21" s="3">
        <v>0</v>
      </c>
      <c r="P21" s="3">
        <v>0</v>
      </c>
      <c r="Q21" s="3">
        <v>2</v>
      </c>
      <c r="R21" s="3">
        <v>0</v>
      </c>
      <c r="S21" s="3"/>
      <c r="T21" s="3"/>
      <c r="U21" s="3">
        <v>0.5</v>
      </c>
      <c r="V21" s="3"/>
      <c r="W21" s="3">
        <v>0</v>
      </c>
      <c r="X21" s="3">
        <v>0</v>
      </c>
      <c r="Y21" s="3">
        <v>2</v>
      </c>
      <c r="Z21" s="3">
        <v>0</v>
      </c>
      <c r="AA21" s="3"/>
      <c r="AB21" s="3"/>
      <c r="AC21" s="3">
        <v>0.5</v>
      </c>
      <c r="AD21" s="3"/>
      <c r="AE21" s="3"/>
      <c r="AF21" s="3"/>
      <c r="AG21" s="3"/>
      <c r="AH21" s="3"/>
      <c r="AI21" s="3"/>
      <c r="AJ21" s="3"/>
      <c r="AK21" s="3"/>
      <c r="AL21" s="3"/>
      <c r="AM21" s="2" t="s">
        <v>51</v>
      </c>
      <c r="AN21" s="3" t="s">
        <v>122</v>
      </c>
      <c r="AO21" s="3" t="s">
        <v>50</v>
      </c>
      <c r="AP21" s="3" t="s">
        <v>50</v>
      </c>
      <c r="AQ21" s="3" t="s">
        <v>51</v>
      </c>
      <c r="AR21" t="s">
        <v>128</v>
      </c>
      <c r="AS21" t="s">
        <v>132</v>
      </c>
      <c r="AT21">
        <v>5</v>
      </c>
      <c r="AU21">
        <f t="shared" si="0"/>
        <v>3</v>
      </c>
      <c r="AV21" s="3" t="s">
        <v>36</v>
      </c>
      <c r="AW21" t="s">
        <v>51</v>
      </c>
      <c r="AY21">
        <f t="shared" si="1"/>
        <v>4</v>
      </c>
      <c r="AZ21">
        <f t="shared" si="2"/>
        <v>2</v>
      </c>
      <c r="BA21">
        <f t="shared" si="3"/>
        <v>0.5</v>
      </c>
      <c r="BB21">
        <f t="shared" si="4"/>
        <v>2</v>
      </c>
      <c r="BC21">
        <f t="shared" si="5"/>
        <v>1</v>
      </c>
      <c r="BD21">
        <f t="shared" si="6"/>
        <v>2</v>
      </c>
      <c r="BE21">
        <f t="shared" si="7"/>
        <v>1</v>
      </c>
      <c r="BF21">
        <f t="shared" si="11"/>
        <v>0.5</v>
      </c>
      <c r="BG21">
        <f t="shared" si="12"/>
        <v>0.5</v>
      </c>
      <c r="BH21" t="str">
        <f t="shared" si="8"/>
        <v>Yes</v>
      </c>
      <c r="BI21" t="str">
        <f t="shared" si="9"/>
        <v>Yes</v>
      </c>
      <c r="BJ21" t="str">
        <f t="shared" si="10"/>
        <v>No</v>
      </c>
    </row>
    <row r="22" spans="1:62" ht="87" x14ac:dyDescent="0.35">
      <c r="A22" s="2" t="s">
        <v>3</v>
      </c>
      <c r="B22" s="2">
        <v>1961</v>
      </c>
      <c r="C22" s="5" t="s">
        <v>35</v>
      </c>
      <c r="D22" s="3" t="s">
        <v>38</v>
      </c>
      <c r="E22" s="3" t="s">
        <v>41</v>
      </c>
      <c r="F22" s="2" t="s">
        <v>54</v>
      </c>
      <c r="G22" s="3" t="s">
        <v>72</v>
      </c>
      <c r="H22" s="2" t="s">
        <v>51</v>
      </c>
      <c r="I22" s="2" t="s">
        <v>77</v>
      </c>
      <c r="J22" s="2" t="s">
        <v>79</v>
      </c>
      <c r="K22" s="2" t="s">
        <v>51</v>
      </c>
      <c r="L22" s="2" t="s">
        <v>108</v>
      </c>
      <c r="M22" s="3" t="s">
        <v>51</v>
      </c>
      <c r="N22" s="2" t="s">
        <v>50</v>
      </c>
      <c r="O22" s="3">
        <v>3</v>
      </c>
      <c r="P22" s="3">
        <v>0</v>
      </c>
      <c r="Q22" s="3">
        <v>2</v>
      </c>
      <c r="R22" s="3">
        <v>0</v>
      </c>
      <c r="S22" s="3">
        <v>0.66</v>
      </c>
      <c r="T22" s="3"/>
      <c r="U22" s="3">
        <v>0</v>
      </c>
      <c r="V22" s="3"/>
      <c r="W22" s="3"/>
      <c r="X22" s="3"/>
      <c r="Y22" s="3"/>
      <c r="Z22" s="3"/>
      <c r="AA22" s="3"/>
      <c r="AB22" s="3"/>
      <c r="AC22" s="3"/>
      <c r="AD22" s="3"/>
      <c r="AE22" s="3"/>
      <c r="AF22" s="3"/>
      <c r="AG22" s="3"/>
      <c r="AH22" s="3"/>
      <c r="AI22" s="3"/>
      <c r="AJ22" s="3"/>
      <c r="AK22" s="3"/>
      <c r="AL22" s="3"/>
      <c r="AM22" s="2" t="s">
        <v>51</v>
      </c>
      <c r="AN22" s="3" t="s">
        <v>120</v>
      </c>
      <c r="AO22" s="3" t="s">
        <v>51</v>
      </c>
      <c r="AP22" s="3" t="s">
        <v>50</v>
      </c>
      <c r="AQ22" s="3" t="s">
        <v>51</v>
      </c>
      <c r="AR22" t="s">
        <v>127</v>
      </c>
      <c r="AS22" t="s">
        <v>130</v>
      </c>
      <c r="AT22">
        <v>1</v>
      </c>
      <c r="AU22">
        <f t="shared" si="0"/>
        <v>2</v>
      </c>
      <c r="AV22" s="10" t="s">
        <v>140</v>
      </c>
      <c r="AW22" t="s">
        <v>50</v>
      </c>
      <c r="AX22" t="s">
        <v>229</v>
      </c>
      <c r="AY22">
        <f t="shared" si="1"/>
        <v>5</v>
      </c>
      <c r="AZ22">
        <f t="shared" si="2"/>
        <v>1.98</v>
      </c>
      <c r="BA22">
        <f t="shared" si="3"/>
        <v>0.39600000000000002</v>
      </c>
      <c r="BB22">
        <f t="shared" si="4"/>
        <v>5</v>
      </c>
      <c r="BC22">
        <f t="shared" si="5"/>
        <v>1.98</v>
      </c>
      <c r="BD22">
        <f t="shared" si="6"/>
        <v>0</v>
      </c>
      <c r="BE22">
        <f t="shared" si="7"/>
        <v>0</v>
      </c>
      <c r="BF22">
        <f t="shared" si="11"/>
        <v>0.39600000000000002</v>
      </c>
      <c r="BG22" t="e">
        <f t="shared" si="12"/>
        <v>#DIV/0!</v>
      </c>
      <c r="BH22" t="str">
        <f t="shared" si="8"/>
        <v>Yes</v>
      </c>
      <c r="BI22" t="str">
        <f t="shared" si="9"/>
        <v>No</v>
      </c>
      <c r="BJ22" t="str">
        <f t="shared" si="10"/>
        <v>No</v>
      </c>
    </row>
    <row r="23" spans="1:62" ht="101.5" x14ac:dyDescent="0.35">
      <c r="A23" s="2" t="s">
        <v>12</v>
      </c>
      <c r="B23" s="2">
        <v>1986</v>
      </c>
      <c r="C23" s="5" t="s">
        <v>173</v>
      </c>
      <c r="D23" s="3" t="s">
        <v>39</v>
      </c>
      <c r="E23" s="3" t="s">
        <v>48</v>
      </c>
      <c r="F23" s="2" t="s">
        <v>60</v>
      </c>
      <c r="G23" s="3" t="s">
        <v>72</v>
      </c>
      <c r="H23" s="2" t="s">
        <v>51</v>
      </c>
      <c r="I23" s="2" t="s">
        <v>70</v>
      </c>
      <c r="J23" s="2" t="s">
        <v>79</v>
      </c>
      <c r="K23" s="2" t="s">
        <v>50</v>
      </c>
      <c r="L23" s="2" t="s">
        <v>114</v>
      </c>
      <c r="M23" s="3" t="s">
        <v>51</v>
      </c>
      <c r="N23" s="2" t="s">
        <v>50</v>
      </c>
      <c r="O23" s="3"/>
      <c r="P23" s="3"/>
      <c r="Q23" s="3"/>
      <c r="R23" s="3"/>
      <c r="S23" s="3"/>
      <c r="T23" s="3"/>
      <c r="U23" s="3"/>
      <c r="V23" s="3"/>
      <c r="W23" s="3"/>
      <c r="X23" s="3"/>
      <c r="Y23" s="3"/>
      <c r="Z23" s="3"/>
      <c r="AA23" s="3"/>
      <c r="AB23" s="3"/>
      <c r="AC23" s="3"/>
      <c r="AD23" s="3"/>
      <c r="AE23" s="3">
        <v>0</v>
      </c>
      <c r="AF23" s="3">
        <v>0</v>
      </c>
      <c r="AG23" s="3">
        <v>7</v>
      </c>
      <c r="AH23" s="3">
        <v>6</v>
      </c>
      <c r="AI23" s="3"/>
      <c r="AJ23" s="3"/>
      <c r="AK23" s="3">
        <v>0</v>
      </c>
      <c r="AL23" s="3">
        <v>0.33</v>
      </c>
      <c r="AM23" s="2" t="s">
        <v>50</v>
      </c>
      <c r="AN23" s="3" t="s">
        <v>121</v>
      </c>
      <c r="AO23" s="3" t="s">
        <v>51</v>
      </c>
      <c r="AP23" s="3" t="s">
        <v>51</v>
      </c>
      <c r="AQ23" s="3" t="s">
        <v>51</v>
      </c>
      <c r="AR23" t="s">
        <v>128</v>
      </c>
      <c r="AS23" t="s">
        <v>131</v>
      </c>
      <c r="AT23">
        <v>5</v>
      </c>
      <c r="AU23">
        <f t="shared" si="0"/>
        <v>3</v>
      </c>
      <c r="AV23" s="3" t="s">
        <v>36</v>
      </c>
      <c r="AW23" t="s">
        <v>51</v>
      </c>
      <c r="AY23">
        <f t="shared" si="1"/>
        <v>13</v>
      </c>
      <c r="AZ23">
        <f t="shared" si="2"/>
        <v>1.98</v>
      </c>
      <c r="BA23">
        <f t="shared" si="3"/>
        <v>0.15230769230769231</v>
      </c>
      <c r="BB23">
        <f t="shared" si="4"/>
        <v>0</v>
      </c>
      <c r="BC23">
        <f t="shared" si="5"/>
        <v>0</v>
      </c>
      <c r="BD23">
        <f t="shared" si="6"/>
        <v>0</v>
      </c>
      <c r="BE23">
        <f t="shared" si="7"/>
        <v>0</v>
      </c>
      <c r="BF23" t="e">
        <f t="shared" si="11"/>
        <v>#DIV/0!</v>
      </c>
      <c r="BG23" t="e">
        <f t="shared" si="12"/>
        <v>#DIV/0!</v>
      </c>
      <c r="BH23" t="str">
        <f t="shared" si="8"/>
        <v>No</v>
      </c>
      <c r="BI23" t="str">
        <f t="shared" si="9"/>
        <v>No</v>
      </c>
      <c r="BJ23" t="str">
        <f t="shared" si="10"/>
        <v>Yes</v>
      </c>
    </row>
    <row r="24" spans="1:62" ht="29" x14ac:dyDescent="0.35">
      <c r="A24" s="2" t="s">
        <v>33</v>
      </c>
      <c r="B24" s="2">
        <v>2016</v>
      </c>
      <c r="C24" s="2" t="s">
        <v>172</v>
      </c>
      <c r="D24" s="3" t="s">
        <v>41</v>
      </c>
      <c r="E24" s="3" t="s">
        <v>41</v>
      </c>
      <c r="F24" s="2" t="s">
        <v>45</v>
      </c>
      <c r="G24" s="3" t="s">
        <v>74</v>
      </c>
      <c r="H24" s="2" t="s">
        <v>50</v>
      </c>
      <c r="I24" s="2" t="s">
        <v>77</v>
      </c>
      <c r="J24" s="2" t="s">
        <v>79</v>
      </c>
      <c r="K24" s="2" t="s">
        <v>51</v>
      </c>
      <c r="L24" s="2" t="s">
        <v>112</v>
      </c>
      <c r="M24" s="3" t="s">
        <v>50</v>
      </c>
      <c r="N24" s="2" t="s">
        <v>50</v>
      </c>
      <c r="O24" s="3">
        <v>5</v>
      </c>
      <c r="P24" s="3">
        <v>0</v>
      </c>
      <c r="Q24" s="3">
        <v>0</v>
      </c>
      <c r="R24" s="3">
        <v>0</v>
      </c>
      <c r="S24" s="3">
        <v>0.2</v>
      </c>
      <c r="T24" s="3"/>
      <c r="U24" s="3"/>
      <c r="V24" s="3"/>
      <c r="W24" s="3">
        <v>5</v>
      </c>
      <c r="X24" s="3">
        <v>0</v>
      </c>
      <c r="Y24" s="3">
        <v>0</v>
      </c>
      <c r="Z24" s="3">
        <v>0</v>
      </c>
      <c r="AA24" s="3">
        <v>0.2</v>
      </c>
      <c r="AB24" s="3"/>
      <c r="AC24" s="3"/>
      <c r="AD24" s="3"/>
      <c r="AE24" s="3"/>
      <c r="AF24" s="3"/>
      <c r="AG24" s="3"/>
      <c r="AH24" s="3"/>
      <c r="AI24" s="3"/>
      <c r="AJ24" s="3"/>
      <c r="AK24" s="3"/>
      <c r="AL24" s="3"/>
      <c r="AM24" s="2" t="s">
        <v>51</v>
      </c>
      <c r="AN24" s="3" t="s">
        <v>122</v>
      </c>
      <c r="AO24" s="3" t="s">
        <v>51</v>
      </c>
      <c r="AP24" s="3" t="s">
        <v>51</v>
      </c>
      <c r="AQ24" s="3" t="s">
        <v>51</v>
      </c>
      <c r="AR24" t="s">
        <v>128</v>
      </c>
      <c r="AS24" t="s">
        <v>132</v>
      </c>
      <c r="AT24">
        <v>9</v>
      </c>
      <c r="AU24">
        <f t="shared" si="0"/>
        <v>1</v>
      </c>
      <c r="AV24" s="3" t="s">
        <v>137</v>
      </c>
      <c r="AW24" t="s">
        <v>51</v>
      </c>
      <c r="AY24">
        <f t="shared" si="1"/>
        <v>10</v>
      </c>
      <c r="AZ24">
        <f t="shared" si="2"/>
        <v>2</v>
      </c>
      <c r="BA24">
        <f t="shared" si="3"/>
        <v>0.2</v>
      </c>
      <c r="BB24">
        <f t="shared" si="4"/>
        <v>5</v>
      </c>
      <c r="BC24">
        <f t="shared" si="5"/>
        <v>1</v>
      </c>
      <c r="BD24">
        <f t="shared" si="6"/>
        <v>5</v>
      </c>
      <c r="BE24">
        <f t="shared" si="7"/>
        <v>1</v>
      </c>
      <c r="BF24">
        <f t="shared" si="11"/>
        <v>0.2</v>
      </c>
      <c r="BG24">
        <f t="shared" si="12"/>
        <v>0.2</v>
      </c>
      <c r="BH24" t="str">
        <f t="shared" si="8"/>
        <v>Yes</v>
      </c>
      <c r="BI24" t="str">
        <f t="shared" si="9"/>
        <v>Yes</v>
      </c>
      <c r="BJ24" t="str">
        <f t="shared" si="10"/>
        <v>No</v>
      </c>
    </row>
    <row r="25" spans="1:62" ht="58" x14ac:dyDescent="0.35">
      <c r="A25" s="2" t="s">
        <v>10</v>
      </c>
      <c r="B25" s="2">
        <v>1980</v>
      </c>
      <c r="C25" s="5" t="s">
        <v>35</v>
      </c>
      <c r="D25" s="3" t="s">
        <v>41</v>
      </c>
      <c r="E25" s="3" t="s">
        <v>41</v>
      </c>
      <c r="F25" s="2" t="s">
        <v>45</v>
      </c>
      <c r="G25" s="3" t="s">
        <v>74</v>
      </c>
      <c r="H25" s="2" t="s">
        <v>50</v>
      </c>
      <c r="I25" s="2" t="s">
        <v>77</v>
      </c>
      <c r="J25" s="2" t="s">
        <v>79</v>
      </c>
      <c r="K25" s="2" t="s">
        <v>51</v>
      </c>
      <c r="L25" s="2" t="s">
        <v>113</v>
      </c>
      <c r="M25" s="3" t="s">
        <v>51</v>
      </c>
      <c r="N25" s="2" t="s">
        <v>50</v>
      </c>
      <c r="O25" s="3">
        <v>3</v>
      </c>
      <c r="P25" s="3">
        <v>0</v>
      </c>
      <c r="Q25" s="3">
        <v>3</v>
      </c>
      <c r="R25" s="3">
        <v>0</v>
      </c>
      <c r="S25" s="3">
        <v>0.33</v>
      </c>
      <c r="T25" s="3"/>
      <c r="U25" s="3">
        <v>0</v>
      </c>
      <c r="V25" s="3"/>
      <c r="W25" s="3">
        <v>3</v>
      </c>
      <c r="X25" s="3">
        <v>0</v>
      </c>
      <c r="Y25" s="3">
        <v>5</v>
      </c>
      <c r="Z25" s="3">
        <v>0</v>
      </c>
      <c r="AA25" s="3">
        <v>0</v>
      </c>
      <c r="AB25" s="3"/>
      <c r="AC25" s="3">
        <v>0.6</v>
      </c>
      <c r="AD25" s="3"/>
      <c r="AE25" s="3"/>
      <c r="AF25" s="3"/>
      <c r="AG25" s="3"/>
      <c r="AH25" s="3"/>
      <c r="AI25" s="3"/>
      <c r="AJ25" s="3"/>
      <c r="AK25" s="3"/>
      <c r="AL25" s="3"/>
      <c r="AM25" s="2" t="s">
        <v>50</v>
      </c>
      <c r="AN25" s="3" t="s">
        <v>122</v>
      </c>
      <c r="AO25" s="3" t="s">
        <v>50</v>
      </c>
      <c r="AP25" s="3" t="s">
        <v>51</v>
      </c>
      <c r="AQ25" s="3" t="s">
        <v>51</v>
      </c>
      <c r="AR25" t="s">
        <v>127</v>
      </c>
      <c r="AS25" t="s">
        <v>131</v>
      </c>
      <c r="AT25">
        <v>5</v>
      </c>
      <c r="AU25">
        <f t="shared" si="0"/>
        <v>3</v>
      </c>
      <c r="AV25" s="3" t="s">
        <v>141</v>
      </c>
      <c r="AW25" t="s">
        <v>51</v>
      </c>
      <c r="AY25">
        <f t="shared" si="1"/>
        <v>14</v>
      </c>
      <c r="AZ25">
        <f t="shared" si="2"/>
        <v>3.99</v>
      </c>
      <c r="BA25">
        <f t="shared" si="3"/>
        <v>0.28500000000000003</v>
      </c>
      <c r="BB25">
        <f t="shared" si="4"/>
        <v>6</v>
      </c>
      <c r="BC25">
        <f t="shared" si="5"/>
        <v>0.99</v>
      </c>
      <c r="BD25">
        <f t="shared" si="6"/>
        <v>8</v>
      </c>
      <c r="BE25">
        <f t="shared" si="7"/>
        <v>3</v>
      </c>
      <c r="BF25">
        <f t="shared" si="11"/>
        <v>0.16500000000000001</v>
      </c>
      <c r="BG25">
        <f t="shared" si="12"/>
        <v>0.375</v>
      </c>
      <c r="BH25" t="str">
        <f t="shared" si="8"/>
        <v>Yes</v>
      </c>
      <c r="BI25" t="str">
        <f t="shared" si="9"/>
        <v>Yes</v>
      </c>
      <c r="BJ25" t="str">
        <f t="shared" si="10"/>
        <v>No</v>
      </c>
    </row>
    <row r="26" spans="1:62" ht="116" x14ac:dyDescent="0.35">
      <c r="A26" s="2" t="s">
        <v>5</v>
      </c>
      <c r="B26" s="2">
        <v>1971</v>
      </c>
      <c r="C26" s="5" t="s">
        <v>35</v>
      </c>
      <c r="D26" s="3" t="s">
        <v>38</v>
      </c>
      <c r="E26" s="3" t="s">
        <v>41</v>
      </c>
      <c r="F26" s="2" t="s">
        <v>55</v>
      </c>
      <c r="G26" s="3" t="s">
        <v>73</v>
      </c>
      <c r="H26" s="2" t="s">
        <v>51</v>
      </c>
      <c r="I26" s="2" t="s">
        <v>77</v>
      </c>
      <c r="J26" s="2" t="s">
        <v>79</v>
      </c>
      <c r="K26" s="2" t="s">
        <v>50</v>
      </c>
      <c r="L26" s="2" t="s">
        <v>109</v>
      </c>
      <c r="M26" s="3" t="s">
        <v>51</v>
      </c>
      <c r="N26" s="2" t="s">
        <v>50</v>
      </c>
      <c r="O26" s="3">
        <v>29</v>
      </c>
      <c r="P26" s="3">
        <v>47</v>
      </c>
      <c r="Q26" s="3">
        <v>40</v>
      </c>
      <c r="R26" s="3">
        <v>14</v>
      </c>
      <c r="S26" s="3">
        <v>0.14000000000000001</v>
      </c>
      <c r="T26" s="3">
        <v>0.19</v>
      </c>
      <c r="U26" s="3">
        <v>0.37</v>
      </c>
      <c r="V26" s="3">
        <v>0.43</v>
      </c>
      <c r="W26" s="3"/>
      <c r="X26" s="3"/>
      <c r="Y26" s="3"/>
      <c r="Z26" s="3"/>
      <c r="AA26" s="3"/>
      <c r="AB26" s="3"/>
      <c r="AC26" s="3"/>
      <c r="AD26" s="3"/>
      <c r="AE26" s="3"/>
      <c r="AF26" s="3"/>
      <c r="AG26" s="3"/>
      <c r="AH26" s="3"/>
      <c r="AI26" s="3"/>
      <c r="AJ26" s="3"/>
      <c r="AK26" s="3"/>
      <c r="AL26" s="3"/>
      <c r="AM26" s="2" t="s">
        <v>51</v>
      </c>
      <c r="AN26" s="3" t="s">
        <v>121</v>
      </c>
      <c r="AO26" s="3" t="s">
        <v>50</v>
      </c>
      <c r="AP26" s="3" t="s">
        <v>50</v>
      </c>
      <c r="AQ26" s="3" t="s">
        <v>51</v>
      </c>
      <c r="AR26" t="s">
        <v>127</v>
      </c>
      <c r="AS26" t="s">
        <v>130</v>
      </c>
      <c r="AT26">
        <v>3</v>
      </c>
      <c r="AU26">
        <f t="shared" si="0"/>
        <v>4</v>
      </c>
      <c r="AV26" s="3" t="s">
        <v>36</v>
      </c>
      <c r="AW26" t="s">
        <v>51</v>
      </c>
      <c r="AY26">
        <f t="shared" si="1"/>
        <v>130</v>
      </c>
      <c r="AZ26">
        <f t="shared" si="2"/>
        <v>33.81</v>
      </c>
      <c r="BA26">
        <f t="shared" si="3"/>
        <v>0.26007692307692309</v>
      </c>
      <c r="BB26">
        <f t="shared" si="4"/>
        <v>130</v>
      </c>
      <c r="BC26">
        <f t="shared" si="5"/>
        <v>33.81</v>
      </c>
      <c r="BD26">
        <f t="shared" si="6"/>
        <v>0</v>
      </c>
      <c r="BE26">
        <f t="shared" si="7"/>
        <v>0</v>
      </c>
      <c r="BF26">
        <f t="shared" si="11"/>
        <v>0.26007692307692309</v>
      </c>
      <c r="BG26" t="e">
        <f t="shared" si="12"/>
        <v>#DIV/0!</v>
      </c>
      <c r="BH26" t="str">
        <f t="shared" si="8"/>
        <v>Yes</v>
      </c>
      <c r="BI26" t="str">
        <f t="shared" si="9"/>
        <v>No</v>
      </c>
      <c r="BJ26" t="str">
        <f t="shared" si="10"/>
        <v>No</v>
      </c>
    </row>
    <row r="27" spans="1:62" ht="58" x14ac:dyDescent="0.35">
      <c r="A27" s="2" t="s">
        <v>210</v>
      </c>
      <c r="B27" s="2">
        <v>1974</v>
      </c>
      <c r="C27" s="5" t="s">
        <v>35</v>
      </c>
      <c r="D27" s="3" t="s">
        <v>38</v>
      </c>
      <c r="E27" s="3" t="s">
        <v>41</v>
      </c>
      <c r="F27" s="2" t="s">
        <v>55</v>
      </c>
      <c r="G27" s="3" t="s">
        <v>73</v>
      </c>
      <c r="H27" s="2" t="s">
        <v>51</v>
      </c>
      <c r="I27" s="2" t="s">
        <v>77</v>
      </c>
      <c r="J27" s="2" t="s">
        <v>79</v>
      </c>
      <c r="K27" s="2" t="s">
        <v>50</v>
      </c>
      <c r="L27" s="2" t="s">
        <v>113</v>
      </c>
      <c r="M27" s="3" t="s">
        <v>50</v>
      </c>
      <c r="N27" s="2" t="s">
        <v>50</v>
      </c>
      <c r="O27" s="3">
        <v>0</v>
      </c>
      <c r="P27" s="3">
        <v>0</v>
      </c>
      <c r="Q27" s="3">
        <v>0</v>
      </c>
      <c r="R27" s="3">
        <v>1</v>
      </c>
      <c r="S27" s="3"/>
      <c r="T27" s="3"/>
      <c r="U27" s="3"/>
      <c r="V27" s="3">
        <v>1</v>
      </c>
      <c r="W27" s="3"/>
      <c r="X27" s="3"/>
      <c r="Y27" s="3"/>
      <c r="Z27" s="3"/>
      <c r="AA27" s="3"/>
      <c r="AB27" s="3"/>
      <c r="AC27" s="3"/>
      <c r="AD27" s="3"/>
      <c r="AE27" s="3"/>
      <c r="AF27" s="3"/>
      <c r="AG27" s="3"/>
      <c r="AH27" s="3"/>
      <c r="AI27" s="3"/>
      <c r="AJ27" s="3"/>
      <c r="AK27" s="3"/>
      <c r="AL27" s="3"/>
      <c r="AM27" s="2" t="s">
        <v>51</v>
      </c>
      <c r="AN27" s="3" t="s">
        <v>122</v>
      </c>
      <c r="AO27" s="3" t="str">
        <f>IF(OR(AN27="subset",AN27 ="uncertain"),"N","Y")</f>
        <v>N</v>
      </c>
      <c r="AP27" s="3" t="s">
        <v>51</v>
      </c>
      <c r="AQ27" s="3" t="s">
        <v>50</v>
      </c>
      <c r="AR27" s="3" t="s">
        <v>51</v>
      </c>
      <c r="AS27" t="s">
        <v>127</v>
      </c>
      <c r="AT27" t="s">
        <v>130</v>
      </c>
      <c r="AU27">
        <v>2</v>
      </c>
      <c r="AV27" t="s">
        <v>233</v>
      </c>
      <c r="AW27" t="s">
        <v>50</v>
      </c>
      <c r="AX27" t="s">
        <v>228</v>
      </c>
      <c r="AY27">
        <f t="shared" si="1"/>
        <v>1</v>
      </c>
      <c r="AZ27">
        <f t="shared" si="2"/>
        <v>1</v>
      </c>
      <c r="BA27">
        <f t="shared" si="3"/>
        <v>1</v>
      </c>
      <c r="BB27">
        <f t="shared" si="4"/>
        <v>1</v>
      </c>
      <c r="BC27">
        <f t="shared" si="5"/>
        <v>1</v>
      </c>
      <c r="BD27">
        <f t="shared" si="6"/>
        <v>0</v>
      </c>
      <c r="BE27">
        <f t="shared" si="7"/>
        <v>0</v>
      </c>
      <c r="BF27">
        <f t="shared" si="11"/>
        <v>1</v>
      </c>
      <c r="BG27" t="e">
        <f t="shared" si="12"/>
        <v>#DIV/0!</v>
      </c>
      <c r="BH27" t="str">
        <f t="shared" si="8"/>
        <v>Yes</v>
      </c>
      <c r="BI27" t="str">
        <f t="shared" si="9"/>
        <v>No</v>
      </c>
      <c r="BJ27" t="str">
        <f t="shared" si="10"/>
        <v>No</v>
      </c>
    </row>
    <row r="28" spans="1:62" ht="29" x14ac:dyDescent="0.35">
      <c r="A28" s="2" t="s">
        <v>8</v>
      </c>
      <c r="B28" s="2">
        <v>1977</v>
      </c>
      <c r="C28" s="5" t="s">
        <v>35</v>
      </c>
      <c r="D28" s="3" t="s">
        <v>38</v>
      </c>
      <c r="E28" s="3" t="s">
        <v>41</v>
      </c>
      <c r="F28" s="2" t="s">
        <v>57</v>
      </c>
      <c r="G28" s="3" t="s">
        <v>73</v>
      </c>
      <c r="H28" s="2" t="s">
        <v>51</v>
      </c>
      <c r="I28" s="2" t="s">
        <v>77</v>
      </c>
      <c r="J28" s="2" t="s">
        <v>79</v>
      </c>
      <c r="K28" s="2" t="s">
        <v>51</v>
      </c>
      <c r="L28" s="2" t="s">
        <v>112</v>
      </c>
      <c r="M28" s="3" t="s">
        <v>51</v>
      </c>
      <c r="N28" s="2" t="s">
        <v>50</v>
      </c>
      <c r="O28" s="3">
        <v>1</v>
      </c>
      <c r="P28" s="3">
        <v>0</v>
      </c>
      <c r="Q28" s="3">
        <v>0</v>
      </c>
      <c r="R28" s="3">
        <v>0</v>
      </c>
      <c r="S28" s="3">
        <v>1</v>
      </c>
      <c r="T28" s="3"/>
      <c r="U28" s="3"/>
      <c r="V28" s="3"/>
      <c r="W28" s="3"/>
      <c r="X28" s="3"/>
      <c r="Y28" s="3"/>
      <c r="Z28" s="3"/>
      <c r="AA28" s="3"/>
      <c r="AB28" s="3"/>
      <c r="AC28" s="3"/>
      <c r="AD28" s="3"/>
      <c r="AE28" s="3"/>
      <c r="AF28" s="3"/>
      <c r="AG28" s="3"/>
      <c r="AH28" s="3"/>
      <c r="AI28" s="3"/>
      <c r="AJ28" s="3"/>
      <c r="AK28" s="3"/>
      <c r="AL28" s="3"/>
      <c r="AM28" s="2" t="s">
        <v>51</v>
      </c>
      <c r="AN28" s="3" t="s">
        <v>120</v>
      </c>
      <c r="AO28" s="3" t="s">
        <v>51</v>
      </c>
      <c r="AP28" s="3" t="s">
        <v>50</v>
      </c>
      <c r="AQ28" s="3" t="s">
        <v>51</v>
      </c>
      <c r="AR28" t="s">
        <v>127</v>
      </c>
      <c r="AS28" t="s">
        <v>130</v>
      </c>
      <c r="AT28">
        <v>1</v>
      </c>
      <c r="AU28">
        <f>SUM(K28="Y",AM28="Y",AO28="Y",AP28="Y",AQ28="N")</f>
        <v>2</v>
      </c>
      <c r="AV28" s="3" t="s">
        <v>36</v>
      </c>
      <c r="AW28" t="s">
        <v>51</v>
      </c>
      <c r="AY28">
        <f t="shared" si="1"/>
        <v>1</v>
      </c>
      <c r="AZ28">
        <f t="shared" si="2"/>
        <v>1</v>
      </c>
      <c r="BA28">
        <f t="shared" si="3"/>
        <v>1</v>
      </c>
      <c r="BB28">
        <f t="shared" si="4"/>
        <v>1</v>
      </c>
      <c r="BC28">
        <f t="shared" si="5"/>
        <v>1</v>
      </c>
      <c r="BD28">
        <f t="shared" si="6"/>
        <v>0</v>
      </c>
      <c r="BE28">
        <f t="shared" si="7"/>
        <v>0</v>
      </c>
      <c r="BF28">
        <f t="shared" si="11"/>
        <v>1</v>
      </c>
      <c r="BG28" t="e">
        <f t="shared" si="12"/>
        <v>#DIV/0!</v>
      </c>
      <c r="BH28" t="str">
        <f t="shared" si="8"/>
        <v>Yes</v>
      </c>
      <c r="BI28" t="str">
        <f t="shared" si="9"/>
        <v>No</v>
      </c>
      <c r="BJ28" t="str">
        <f t="shared" si="10"/>
        <v>No</v>
      </c>
    </row>
    <row r="29" spans="1:62" ht="58" x14ac:dyDescent="0.35">
      <c r="A29" s="2" t="s">
        <v>30</v>
      </c>
      <c r="B29" s="2">
        <v>2013</v>
      </c>
      <c r="C29" s="5" t="s">
        <v>172</v>
      </c>
      <c r="D29" s="3" t="s">
        <v>42</v>
      </c>
      <c r="E29" s="3" t="s">
        <v>42</v>
      </c>
      <c r="F29" s="2" t="s">
        <v>45</v>
      </c>
      <c r="G29" s="3" t="s">
        <v>74</v>
      </c>
      <c r="H29" s="2" t="s">
        <v>50</v>
      </c>
      <c r="I29" s="2" t="s">
        <v>77</v>
      </c>
      <c r="J29" s="2" t="s">
        <v>79</v>
      </c>
      <c r="K29" s="2" t="s">
        <v>51</v>
      </c>
      <c r="L29" s="2" t="s">
        <v>112</v>
      </c>
      <c r="M29" s="3" t="s">
        <v>51</v>
      </c>
      <c r="N29" s="2" t="s">
        <v>50</v>
      </c>
      <c r="O29" s="3">
        <v>12</v>
      </c>
      <c r="P29" s="3">
        <v>0</v>
      </c>
      <c r="Q29" s="3">
        <v>0</v>
      </c>
      <c r="R29" s="3">
        <v>0</v>
      </c>
      <c r="S29" s="3">
        <v>0</v>
      </c>
      <c r="T29" s="3"/>
      <c r="U29" s="3"/>
      <c r="V29" s="3"/>
      <c r="W29" s="3">
        <v>12</v>
      </c>
      <c r="X29" s="3">
        <v>0</v>
      </c>
      <c r="Y29" s="3">
        <v>0</v>
      </c>
      <c r="Z29" s="3">
        <v>0</v>
      </c>
      <c r="AA29" s="3">
        <v>0</v>
      </c>
      <c r="AB29" s="3"/>
      <c r="AC29" s="3"/>
      <c r="AD29" s="3"/>
      <c r="AE29" s="3">
        <v>12</v>
      </c>
      <c r="AF29" s="3">
        <v>0</v>
      </c>
      <c r="AG29" s="3">
        <v>0</v>
      </c>
      <c r="AH29" s="3">
        <v>0</v>
      </c>
      <c r="AI29" s="3">
        <v>1</v>
      </c>
      <c r="AJ29" s="3"/>
      <c r="AK29" s="3"/>
      <c r="AL29" s="3"/>
      <c r="AM29" s="2" t="s">
        <v>51</v>
      </c>
      <c r="AN29" s="3" t="s">
        <v>122</v>
      </c>
      <c r="AO29" s="3" t="s">
        <v>51</v>
      </c>
      <c r="AP29" s="3" t="s">
        <v>50</v>
      </c>
      <c r="AQ29" s="3" t="s">
        <v>51</v>
      </c>
      <c r="AR29" t="s">
        <v>128</v>
      </c>
      <c r="AS29" t="s">
        <v>132</v>
      </c>
      <c r="AT29">
        <v>0</v>
      </c>
      <c r="AU29">
        <f>SUM(K29="Y",AM29="Y",AO29="Y",AP29="Y",AQ29="N")</f>
        <v>2</v>
      </c>
      <c r="AV29" s="3" t="s">
        <v>36</v>
      </c>
      <c r="AW29" t="s">
        <v>51</v>
      </c>
      <c r="AY29">
        <f t="shared" si="1"/>
        <v>36</v>
      </c>
      <c r="AZ29">
        <f t="shared" si="2"/>
        <v>12</v>
      </c>
      <c r="BA29">
        <f t="shared" si="3"/>
        <v>0.33333333333333331</v>
      </c>
      <c r="BB29">
        <f t="shared" si="4"/>
        <v>12</v>
      </c>
      <c r="BC29">
        <f t="shared" si="5"/>
        <v>0</v>
      </c>
      <c r="BD29">
        <f t="shared" si="6"/>
        <v>12</v>
      </c>
      <c r="BE29">
        <f t="shared" si="7"/>
        <v>0</v>
      </c>
      <c r="BF29">
        <f t="shared" si="11"/>
        <v>0</v>
      </c>
      <c r="BG29">
        <f t="shared" si="12"/>
        <v>0</v>
      </c>
      <c r="BH29" t="str">
        <f t="shared" si="8"/>
        <v>Yes</v>
      </c>
      <c r="BI29" t="str">
        <f t="shared" si="9"/>
        <v>Yes</v>
      </c>
      <c r="BJ29" t="str">
        <f t="shared" si="10"/>
        <v>No</v>
      </c>
    </row>
    <row r="30" spans="1:62" ht="116" x14ac:dyDescent="0.35">
      <c r="A30" s="2" t="s">
        <v>4</v>
      </c>
      <c r="B30" s="2">
        <v>1964</v>
      </c>
      <c r="C30" s="5" t="s">
        <v>35</v>
      </c>
      <c r="D30" s="3" t="s">
        <v>38</v>
      </c>
      <c r="E30" s="3" t="s">
        <v>41</v>
      </c>
      <c r="F30" s="2" t="s">
        <v>54</v>
      </c>
      <c r="G30" s="3" t="s">
        <v>72</v>
      </c>
      <c r="H30" s="2" t="s">
        <v>51</v>
      </c>
      <c r="I30" s="2" t="s">
        <v>77</v>
      </c>
      <c r="J30" s="2" t="s">
        <v>79</v>
      </c>
      <c r="K30" s="2" t="s">
        <v>50</v>
      </c>
      <c r="L30" s="2" t="s">
        <v>109</v>
      </c>
      <c r="M30" s="3" t="s">
        <v>51</v>
      </c>
      <c r="N30" s="2" t="s">
        <v>50</v>
      </c>
      <c r="O30" s="3">
        <v>4</v>
      </c>
      <c r="P30" s="3">
        <v>6</v>
      </c>
      <c r="Q30" s="3">
        <v>2</v>
      </c>
      <c r="R30" s="3">
        <v>1</v>
      </c>
      <c r="S30" s="3">
        <v>0.5</v>
      </c>
      <c r="T30" s="3">
        <v>0</v>
      </c>
      <c r="U30" s="3">
        <v>1</v>
      </c>
      <c r="V30" s="3">
        <v>1</v>
      </c>
      <c r="W30" s="3"/>
      <c r="X30" s="3"/>
      <c r="Y30" s="3"/>
      <c r="Z30" s="3"/>
      <c r="AA30" s="3"/>
      <c r="AB30" s="3"/>
      <c r="AC30" s="3"/>
      <c r="AD30" s="3"/>
      <c r="AE30" s="3"/>
      <c r="AF30" s="3"/>
      <c r="AG30" s="3"/>
      <c r="AH30" s="3"/>
      <c r="AI30" s="3"/>
      <c r="AJ30" s="3"/>
      <c r="AK30" s="3"/>
      <c r="AL30" s="3"/>
      <c r="AM30" s="2" t="s">
        <v>51</v>
      </c>
      <c r="AN30" s="3" t="s">
        <v>121</v>
      </c>
      <c r="AO30" s="3" t="s">
        <v>51</v>
      </c>
      <c r="AP30" s="3" t="s">
        <v>50</v>
      </c>
      <c r="AQ30" s="3" t="s">
        <v>51</v>
      </c>
      <c r="AR30" t="s">
        <v>127</v>
      </c>
      <c r="AS30" t="s">
        <v>130</v>
      </c>
      <c r="AT30">
        <v>1</v>
      </c>
      <c r="AU30">
        <f>SUM(K30="Y",AM30="Y",AO30="Y",AP30="Y",AQ30="N")</f>
        <v>3</v>
      </c>
      <c r="AV30" s="3" t="s">
        <v>36</v>
      </c>
      <c r="AW30" t="s">
        <v>51</v>
      </c>
      <c r="AY30">
        <f t="shared" si="1"/>
        <v>13</v>
      </c>
      <c r="AZ30">
        <f t="shared" si="2"/>
        <v>5</v>
      </c>
      <c r="BA30">
        <f t="shared" si="3"/>
        <v>0.38461538461538464</v>
      </c>
      <c r="BB30">
        <f t="shared" si="4"/>
        <v>13</v>
      </c>
      <c r="BC30">
        <f t="shared" si="5"/>
        <v>5</v>
      </c>
      <c r="BD30">
        <f t="shared" si="6"/>
        <v>0</v>
      </c>
      <c r="BE30">
        <f t="shared" si="7"/>
        <v>0</v>
      </c>
      <c r="BF30">
        <f t="shared" si="11"/>
        <v>0.38461538461538464</v>
      </c>
      <c r="BG30" t="e">
        <f t="shared" si="12"/>
        <v>#DIV/0!</v>
      </c>
      <c r="BH30" t="str">
        <f t="shared" si="8"/>
        <v>Yes</v>
      </c>
      <c r="BI30" t="str">
        <f t="shared" si="9"/>
        <v>No</v>
      </c>
      <c r="BJ30" t="str">
        <f t="shared" si="10"/>
        <v>No</v>
      </c>
    </row>
    <row r="31" spans="1:62" ht="58" x14ac:dyDescent="0.35">
      <c r="A31" s="3" t="s">
        <v>22</v>
      </c>
      <c r="B31" s="3">
        <v>2002</v>
      </c>
      <c r="C31" s="3" t="s">
        <v>172</v>
      </c>
      <c r="D31" s="3" t="s">
        <v>41</v>
      </c>
      <c r="E31" s="3" t="s">
        <v>41</v>
      </c>
      <c r="F31" s="3" t="s">
        <v>45</v>
      </c>
      <c r="G31" s="3" t="s">
        <v>74</v>
      </c>
      <c r="H31" s="3" t="s">
        <v>50</v>
      </c>
      <c r="I31" s="3" t="s">
        <v>70</v>
      </c>
      <c r="J31" s="3" t="s">
        <v>79</v>
      </c>
      <c r="K31" s="3" t="s">
        <v>50</v>
      </c>
      <c r="L31" s="9" t="s">
        <v>113</v>
      </c>
      <c r="M31" s="3" t="s">
        <v>51</v>
      </c>
      <c r="N31" s="3" t="s">
        <v>50</v>
      </c>
      <c r="O31" s="3">
        <v>4</v>
      </c>
      <c r="P31" s="3">
        <v>0</v>
      </c>
      <c r="Q31" s="3">
        <v>18</v>
      </c>
      <c r="R31" s="3">
        <v>0</v>
      </c>
      <c r="S31" s="3">
        <v>0.25</v>
      </c>
      <c r="T31" s="3"/>
      <c r="U31" s="3">
        <v>0.05</v>
      </c>
      <c r="V31" s="3"/>
      <c r="W31" s="3">
        <v>4</v>
      </c>
      <c r="X31" s="3">
        <v>0</v>
      </c>
      <c r="Y31" s="3">
        <v>18</v>
      </c>
      <c r="Z31" s="3">
        <v>0</v>
      </c>
      <c r="AA31" s="3">
        <v>0.5</v>
      </c>
      <c r="AB31" s="3"/>
      <c r="AC31" s="3">
        <v>0.05</v>
      </c>
      <c r="AD31" s="3"/>
      <c r="AE31" s="3"/>
      <c r="AF31" s="3"/>
      <c r="AG31" s="3"/>
      <c r="AH31" s="3"/>
      <c r="AI31" s="3"/>
      <c r="AJ31" s="3"/>
      <c r="AK31" s="3"/>
      <c r="AL31" s="3"/>
      <c r="AM31" s="3" t="s">
        <v>51</v>
      </c>
      <c r="AN31" s="3" t="s">
        <v>122</v>
      </c>
      <c r="AO31" s="3" t="s">
        <v>51</v>
      </c>
      <c r="AP31" s="3" t="s">
        <v>51</v>
      </c>
      <c r="AQ31" s="3" t="s">
        <v>51</v>
      </c>
      <c r="AR31" t="s">
        <v>128</v>
      </c>
      <c r="AS31" t="s">
        <v>132</v>
      </c>
      <c r="AT31">
        <v>8</v>
      </c>
      <c r="AU31">
        <f>SUM(K31="Y",AM31="Y",AO31="Y",AP31="Y",AQ31="N")</f>
        <v>2</v>
      </c>
      <c r="AV31" s="3" t="s">
        <v>36</v>
      </c>
      <c r="AW31" t="s">
        <v>51</v>
      </c>
      <c r="AY31">
        <f t="shared" si="1"/>
        <v>44</v>
      </c>
      <c r="AZ31">
        <f t="shared" si="2"/>
        <v>4.8</v>
      </c>
      <c r="BA31">
        <f t="shared" si="3"/>
        <v>0.10909090909090909</v>
      </c>
      <c r="BB31">
        <f t="shared" si="4"/>
        <v>22</v>
      </c>
      <c r="BC31">
        <f t="shared" si="5"/>
        <v>1.9</v>
      </c>
      <c r="BD31">
        <f t="shared" si="6"/>
        <v>22</v>
      </c>
      <c r="BE31">
        <f t="shared" si="7"/>
        <v>2.9</v>
      </c>
      <c r="BF31">
        <f t="shared" si="11"/>
        <v>8.6363636363636365E-2</v>
      </c>
      <c r="BG31">
        <f t="shared" si="12"/>
        <v>0.13181818181818181</v>
      </c>
      <c r="BH31" t="str">
        <f t="shared" si="8"/>
        <v>Yes</v>
      </c>
      <c r="BI31" t="str">
        <f t="shared" si="9"/>
        <v>Yes</v>
      </c>
      <c r="BJ31" t="str">
        <f t="shared" si="10"/>
        <v>No</v>
      </c>
    </row>
    <row r="32" spans="1:62" ht="58" x14ac:dyDescent="0.35">
      <c r="A32" s="2" t="s">
        <v>31</v>
      </c>
      <c r="B32" s="2">
        <v>2013</v>
      </c>
      <c r="C32" s="2" t="s">
        <v>173</v>
      </c>
      <c r="D32" s="3" t="s">
        <v>40</v>
      </c>
      <c r="E32" s="3" t="s">
        <v>41</v>
      </c>
      <c r="F32" s="2" t="s">
        <v>45</v>
      </c>
      <c r="G32" s="3" t="s">
        <v>74</v>
      </c>
      <c r="H32" s="2" t="s">
        <v>50</v>
      </c>
      <c r="I32" s="2" t="s">
        <v>77</v>
      </c>
      <c r="J32" s="2" t="s">
        <v>79</v>
      </c>
      <c r="K32" s="2" t="s">
        <v>51</v>
      </c>
      <c r="L32" s="2" t="s">
        <v>111</v>
      </c>
      <c r="M32" s="3" t="s">
        <v>51</v>
      </c>
      <c r="N32" s="2" t="s">
        <v>50</v>
      </c>
      <c r="O32" s="3"/>
      <c r="P32" s="3"/>
      <c r="Q32" s="3"/>
      <c r="R32" s="3"/>
      <c r="S32" s="3"/>
      <c r="T32" s="3"/>
      <c r="U32" s="3"/>
      <c r="V32" s="3"/>
      <c r="W32" s="3">
        <v>0</v>
      </c>
      <c r="X32" s="3">
        <v>0</v>
      </c>
      <c r="Y32" s="3">
        <v>1</v>
      </c>
      <c r="Z32" s="3">
        <v>0</v>
      </c>
      <c r="AA32" s="3"/>
      <c r="AB32" s="3"/>
      <c r="AC32" s="3">
        <v>1</v>
      </c>
      <c r="AD32" s="3"/>
      <c r="AE32" s="3"/>
      <c r="AF32" s="3"/>
      <c r="AG32" s="3"/>
      <c r="AH32" s="3"/>
      <c r="AI32" s="3"/>
      <c r="AJ32" s="3"/>
      <c r="AK32" s="3"/>
      <c r="AL32" s="3"/>
      <c r="AM32" s="2" t="s">
        <v>50</v>
      </c>
      <c r="AN32" s="3" t="s">
        <v>122</v>
      </c>
      <c r="AO32" s="3" t="str">
        <f>IF(OR(AN32="subset",AN32 ="uncertain"),"N","Y")</f>
        <v>N</v>
      </c>
      <c r="AP32" s="3" t="s">
        <v>50</v>
      </c>
      <c r="AQ32" s="3" t="s">
        <v>50</v>
      </c>
      <c r="AR32" s="3" t="s">
        <v>51</v>
      </c>
      <c r="AS32" t="s">
        <v>128</v>
      </c>
      <c r="AT32" t="s">
        <v>131</v>
      </c>
      <c r="AU32">
        <v>9</v>
      </c>
      <c r="AV32">
        <f>SUM(K32="Y",AM32="Y",AP32="Y",AQ32="Y",AO32="Y")</f>
        <v>3</v>
      </c>
      <c r="AW32" t="s">
        <v>51</v>
      </c>
      <c r="AY32">
        <f t="shared" si="1"/>
        <v>1</v>
      </c>
      <c r="AZ32">
        <f t="shared" si="2"/>
        <v>1</v>
      </c>
      <c r="BA32">
        <f t="shared" si="3"/>
        <v>1</v>
      </c>
      <c r="BB32">
        <f t="shared" si="4"/>
        <v>0</v>
      </c>
      <c r="BC32">
        <f t="shared" si="5"/>
        <v>0</v>
      </c>
      <c r="BD32">
        <f t="shared" si="6"/>
        <v>1</v>
      </c>
      <c r="BE32">
        <f t="shared" si="7"/>
        <v>1</v>
      </c>
      <c r="BF32" t="e">
        <f t="shared" si="11"/>
        <v>#DIV/0!</v>
      </c>
      <c r="BG32">
        <f t="shared" si="12"/>
        <v>1</v>
      </c>
      <c r="BH32" t="str">
        <f t="shared" si="8"/>
        <v>No</v>
      </c>
      <c r="BI32" t="str">
        <f t="shared" si="9"/>
        <v>Yes</v>
      </c>
      <c r="BJ32" t="str">
        <f t="shared" si="10"/>
        <v>No</v>
      </c>
    </row>
    <row r="33" spans="1:62" ht="58" x14ac:dyDescent="0.35">
      <c r="A33" s="2" t="s">
        <v>31</v>
      </c>
      <c r="B33" s="2">
        <v>2013</v>
      </c>
      <c r="C33" s="2" t="s">
        <v>172</v>
      </c>
      <c r="D33" s="3" t="s">
        <v>40</v>
      </c>
      <c r="E33" s="3" t="s">
        <v>41</v>
      </c>
      <c r="F33" s="2" t="s">
        <v>45</v>
      </c>
      <c r="G33" s="3" t="s">
        <v>74</v>
      </c>
      <c r="H33" s="2" t="s">
        <v>50</v>
      </c>
      <c r="I33" s="2" t="s">
        <v>77</v>
      </c>
      <c r="J33" s="2" t="s">
        <v>79</v>
      </c>
      <c r="K33" s="2" t="s">
        <v>51</v>
      </c>
      <c r="L33" s="2" t="s">
        <v>111</v>
      </c>
      <c r="M33" s="3" t="s">
        <v>51</v>
      </c>
      <c r="N33" s="2" t="s">
        <v>50</v>
      </c>
      <c r="O33" s="3"/>
      <c r="P33" s="3"/>
      <c r="Q33" s="3"/>
      <c r="R33" s="3"/>
      <c r="S33" s="3"/>
      <c r="T33" s="3"/>
      <c r="U33" s="3"/>
      <c r="V33" s="3"/>
      <c r="W33" s="3">
        <v>0</v>
      </c>
      <c r="X33" s="3">
        <v>0</v>
      </c>
      <c r="Y33" s="3">
        <v>1</v>
      </c>
      <c r="Z33" s="3">
        <v>0</v>
      </c>
      <c r="AA33" s="3"/>
      <c r="AB33" s="3"/>
      <c r="AC33" s="3">
        <v>1</v>
      </c>
      <c r="AD33" s="3"/>
      <c r="AE33" s="3"/>
      <c r="AF33" s="3"/>
      <c r="AG33" s="3"/>
      <c r="AH33" s="3"/>
      <c r="AI33" s="3"/>
      <c r="AJ33" s="3"/>
      <c r="AK33" s="3"/>
      <c r="AL33" s="3"/>
      <c r="AM33" s="2" t="s">
        <v>50</v>
      </c>
      <c r="AN33" s="3" t="s">
        <v>122</v>
      </c>
      <c r="AO33" s="3" t="str">
        <f>IF(OR(AN33="subset",AN33 ="uncertain"),"N","Y")</f>
        <v>N</v>
      </c>
      <c r="AP33" s="3" t="s">
        <v>50</v>
      </c>
      <c r="AQ33" s="3" t="s">
        <v>50</v>
      </c>
      <c r="AR33" s="3" t="s">
        <v>51</v>
      </c>
      <c r="AS33" t="s">
        <v>128</v>
      </c>
      <c r="AT33" t="s">
        <v>132</v>
      </c>
      <c r="AU33">
        <v>9</v>
      </c>
      <c r="AV33">
        <f>SUM(K33="Y",AM33="Y",AP33="Y",AQ33="Y",AO33="Y")</f>
        <v>3</v>
      </c>
      <c r="AW33" t="s">
        <v>51</v>
      </c>
      <c r="AY33">
        <f t="shared" si="1"/>
        <v>1</v>
      </c>
      <c r="AZ33">
        <f t="shared" si="2"/>
        <v>1</v>
      </c>
      <c r="BA33">
        <f t="shared" si="3"/>
        <v>1</v>
      </c>
      <c r="BB33">
        <f t="shared" si="4"/>
        <v>0</v>
      </c>
      <c r="BC33">
        <f t="shared" si="5"/>
        <v>0</v>
      </c>
      <c r="BD33">
        <f t="shared" si="6"/>
        <v>1</v>
      </c>
      <c r="BE33">
        <f t="shared" si="7"/>
        <v>1</v>
      </c>
      <c r="BF33" t="e">
        <f t="shared" si="11"/>
        <v>#DIV/0!</v>
      </c>
      <c r="BG33">
        <f t="shared" si="12"/>
        <v>1</v>
      </c>
      <c r="BH33" t="str">
        <f t="shared" si="8"/>
        <v>No</v>
      </c>
      <c r="BI33" t="str">
        <f t="shared" si="9"/>
        <v>Yes</v>
      </c>
      <c r="BJ33" t="str">
        <f t="shared" si="10"/>
        <v>No</v>
      </c>
    </row>
    <row r="34" spans="1:62" x14ac:dyDescent="0.35">
      <c r="AV34" s="3"/>
    </row>
    <row r="35" spans="1:62" x14ac:dyDescent="0.35">
      <c r="AV35" s="3"/>
    </row>
    <row r="38" spans="1:62" x14ac:dyDescent="0.35">
      <c r="C38" s="3"/>
    </row>
    <row r="39" spans="1:62" x14ac:dyDescent="0.35">
      <c r="C39" s="2"/>
    </row>
    <row r="40" spans="1:62" x14ac:dyDescent="0.35">
      <c r="C40" s="2"/>
    </row>
    <row r="61" spans="51:54" x14ac:dyDescent="0.35">
      <c r="AY61" s="3"/>
      <c r="AZ61" s="3"/>
      <c r="BA61" s="3"/>
      <c r="BB61" s="3"/>
    </row>
    <row r="62" spans="51:54" x14ac:dyDescent="0.35">
      <c r="AY62" s="3"/>
      <c r="AZ62" s="3"/>
      <c r="BA62" s="3"/>
      <c r="BB62" s="3"/>
    </row>
    <row r="63" spans="51:54" x14ac:dyDescent="0.35">
      <c r="AY63" s="3"/>
      <c r="AZ63" s="3"/>
      <c r="BA63" s="3"/>
      <c r="BB63" s="3"/>
    </row>
  </sheetData>
  <sortState xmlns:xlrd2="http://schemas.microsoft.com/office/spreadsheetml/2017/richdata2" ref="A2:BA33">
    <sortCondition ref="A1:A33"/>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3EB48-A807-4089-A0F4-6D3E4501B41E}">
  <dimension ref="A1:V61"/>
  <sheetViews>
    <sheetView topLeftCell="A40" zoomScale="96" zoomScaleNormal="110" workbookViewId="0">
      <selection activeCell="T33" sqref="T33:T47"/>
    </sheetView>
  </sheetViews>
  <sheetFormatPr defaultRowHeight="14.5" x14ac:dyDescent="0.35"/>
  <cols>
    <col min="1" max="1" width="12.6328125" bestFit="1" customWidth="1"/>
    <col min="2" max="2" width="16.08984375" bestFit="1" customWidth="1"/>
    <col min="3" max="3" width="2.90625" bestFit="1" customWidth="1"/>
    <col min="4" max="5" width="1.90625" bestFit="1" customWidth="1"/>
    <col min="6" max="6" width="10.36328125" bestFit="1" customWidth="1"/>
    <col min="7" max="8" width="9.7265625" bestFit="1" customWidth="1"/>
    <col min="9" max="9" width="3.26953125" bestFit="1" customWidth="1"/>
    <col min="10" max="10" width="6.36328125" bestFit="1" customWidth="1"/>
    <col min="11" max="13" width="9.7265625" bestFit="1" customWidth="1"/>
    <col min="14" max="14" width="6.36328125" bestFit="1" customWidth="1"/>
    <col min="15" max="15" width="9.7265625" bestFit="1" customWidth="1"/>
    <col min="16" max="16" width="6.36328125" bestFit="1" customWidth="1"/>
    <col min="17" max="17" width="10.36328125" bestFit="1" customWidth="1"/>
  </cols>
  <sheetData>
    <row r="1" spans="1:22" x14ac:dyDescent="0.35">
      <c r="A1" s="11" t="s">
        <v>37</v>
      </c>
      <c r="B1" t="s">
        <v>156</v>
      </c>
    </row>
    <row r="3" spans="1:22" x14ac:dyDescent="0.35">
      <c r="A3" s="11" t="s">
        <v>154</v>
      </c>
      <c r="B3" t="s">
        <v>151</v>
      </c>
    </row>
    <row r="4" spans="1:22" x14ac:dyDescent="0.35">
      <c r="A4" s="12" t="s">
        <v>77</v>
      </c>
      <c r="B4">
        <v>14</v>
      </c>
      <c r="G4" s="14"/>
    </row>
    <row r="5" spans="1:22" x14ac:dyDescent="0.35">
      <c r="A5" s="12" t="s">
        <v>70</v>
      </c>
      <c r="B5">
        <v>13</v>
      </c>
      <c r="G5" s="14"/>
      <c r="R5" s="13"/>
      <c r="S5" s="13"/>
      <c r="T5" s="13"/>
      <c r="U5" s="13"/>
      <c r="V5" s="13"/>
    </row>
    <row r="6" spans="1:22" x14ac:dyDescent="0.35">
      <c r="A6" s="12" t="s">
        <v>153</v>
      </c>
      <c r="B6">
        <v>27</v>
      </c>
      <c r="G6" s="14"/>
      <c r="R6" s="13"/>
      <c r="S6" s="13"/>
      <c r="T6" s="13"/>
      <c r="U6" s="13"/>
      <c r="V6" s="13"/>
    </row>
    <row r="7" spans="1:22" x14ac:dyDescent="0.35">
      <c r="G7" s="14"/>
      <c r="I7" s="14"/>
      <c r="K7" s="14"/>
      <c r="L7" s="14"/>
      <c r="Q7" s="13"/>
      <c r="R7" s="13"/>
      <c r="S7" s="13"/>
      <c r="T7" s="13"/>
      <c r="U7" s="13"/>
      <c r="V7" s="13"/>
    </row>
    <row r="8" spans="1:22" x14ac:dyDescent="0.35">
      <c r="G8" s="14"/>
    </row>
    <row r="9" spans="1:22" x14ac:dyDescent="0.35">
      <c r="G9" s="14"/>
      <c r="J9" s="14"/>
      <c r="K9" s="14"/>
      <c r="L9" s="14"/>
      <c r="M9" s="14"/>
    </row>
    <row r="10" spans="1:22" x14ac:dyDescent="0.35">
      <c r="G10" s="14"/>
      <c r="I10" s="14"/>
      <c r="K10" s="14"/>
      <c r="L10" s="14"/>
    </row>
    <row r="11" spans="1:22" x14ac:dyDescent="0.35">
      <c r="G11" s="14"/>
      <c r="I11" s="13"/>
      <c r="J11" s="13"/>
      <c r="K11" s="13"/>
      <c r="L11" s="13"/>
      <c r="M11" s="13"/>
      <c r="N11" s="13"/>
      <c r="O11" s="13"/>
      <c r="P11" s="13"/>
    </row>
    <row r="12" spans="1:22" x14ac:dyDescent="0.35">
      <c r="G12" s="14"/>
      <c r="I12" s="13"/>
      <c r="J12" s="13"/>
      <c r="K12" s="13"/>
      <c r="L12" s="13"/>
      <c r="M12" s="13"/>
      <c r="N12" s="13"/>
      <c r="O12" s="13"/>
      <c r="P12" s="13"/>
    </row>
    <row r="13" spans="1:22" x14ac:dyDescent="0.35">
      <c r="G13" s="14"/>
      <c r="I13" s="13"/>
      <c r="J13" s="13"/>
      <c r="K13" s="13"/>
      <c r="L13" s="13"/>
      <c r="M13" s="13"/>
      <c r="N13" s="13"/>
      <c r="O13" s="13"/>
      <c r="P13" s="13"/>
    </row>
    <row r="14" spans="1:22" x14ac:dyDescent="0.35">
      <c r="E14" s="13"/>
      <c r="F14" s="14"/>
      <c r="G14" s="14"/>
      <c r="H14" s="13"/>
      <c r="I14" s="13"/>
      <c r="J14" s="13"/>
      <c r="K14" s="13"/>
      <c r="O14" s="13"/>
    </row>
    <row r="15" spans="1:22" x14ac:dyDescent="0.35">
      <c r="F15" s="14"/>
      <c r="G15" s="14"/>
      <c r="H15" s="13"/>
      <c r="I15" s="13"/>
      <c r="J15" s="13"/>
      <c r="K15" s="13"/>
      <c r="O15" s="22"/>
    </row>
    <row r="16" spans="1:22" x14ac:dyDescent="0.35">
      <c r="C16" s="18"/>
      <c r="D16" s="18"/>
      <c r="E16" s="18"/>
      <c r="G16" s="14"/>
      <c r="H16" s="13"/>
      <c r="I16" s="13"/>
      <c r="J16" s="13"/>
      <c r="K16" s="13"/>
    </row>
    <row r="17" spans="1:19" x14ac:dyDescent="0.35">
      <c r="D17" s="19"/>
      <c r="G17" s="14"/>
      <c r="H17" s="13"/>
      <c r="I17" s="13"/>
      <c r="J17" s="13"/>
      <c r="K17" s="13"/>
      <c r="Q17" s="14"/>
      <c r="R17" s="13"/>
      <c r="S17" s="13"/>
    </row>
    <row r="18" spans="1:19" x14ac:dyDescent="0.35">
      <c r="H18" s="13"/>
      <c r="I18" s="14"/>
      <c r="J18" s="14"/>
      <c r="K18" s="14"/>
      <c r="Q18" s="14"/>
      <c r="R18" s="13"/>
      <c r="S18" s="13"/>
    </row>
    <row r="19" spans="1:19" x14ac:dyDescent="0.35">
      <c r="C19" s="21"/>
      <c r="D19" s="21"/>
      <c r="E19" s="19"/>
      <c r="G19" s="14"/>
      <c r="H19" s="13"/>
      <c r="I19" s="14"/>
      <c r="J19" s="14"/>
      <c r="K19" s="14"/>
      <c r="Q19" s="14"/>
      <c r="R19" s="13"/>
      <c r="S19" s="13"/>
    </row>
    <row r="20" spans="1:19" x14ac:dyDescent="0.35">
      <c r="D20" s="20"/>
      <c r="E20" s="19"/>
      <c r="G20" s="14"/>
      <c r="H20" s="13"/>
      <c r="I20" s="14"/>
      <c r="J20" s="14"/>
      <c r="K20" s="14"/>
      <c r="L20" s="14"/>
      <c r="N20" s="14"/>
      <c r="O20" s="14"/>
      <c r="P20" s="14"/>
      <c r="Q20" s="14"/>
      <c r="R20" s="13"/>
      <c r="S20" s="13"/>
    </row>
    <row r="21" spans="1:19" x14ac:dyDescent="0.35">
      <c r="G21" s="14"/>
      <c r="H21" s="13"/>
      <c r="I21" s="14"/>
      <c r="J21" s="14"/>
      <c r="K21" s="13"/>
      <c r="L21" s="13"/>
      <c r="M21" s="13"/>
      <c r="N21" s="13"/>
      <c r="O21" s="13"/>
      <c r="P21" s="13"/>
      <c r="Q21" s="13"/>
      <c r="R21" s="13"/>
      <c r="S21" s="13"/>
    </row>
    <row r="22" spans="1:19" x14ac:dyDescent="0.35">
      <c r="C22" s="15"/>
      <c r="D22" s="15"/>
      <c r="H22" s="13"/>
      <c r="I22" s="13"/>
      <c r="J22" s="13"/>
      <c r="K22" s="13"/>
      <c r="Q22" s="13"/>
      <c r="R22" s="13"/>
      <c r="S22" s="13"/>
    </row>
    <row r="23" spans="1:19" x14ac:dyDescent="0.35">
      <c r="H23" s="13"/>
      <c r="I23" s="13"/>
      <c r="J23" s="13"/>
      <c r="K23" s="13"/>
    </row>
    <row r="24" spans="1:19" x14ac:dyDescent="0.35">
      <c r="C24" s="13"/>
      <c r="D24" s="13"/>
      <c r="E24" s="13"/>
      <c r="H24" s="13"/>
      <c r="I24" s="13"/>
      <c r="J24" s="13"/>
      <c r="K24" s="13"/>
    </row>
    <row r="25" spans="1:19" x14ac:dyDescent="0.35">
      <c r="C25" s="13"/>
      <c r="D25" s="13"/>
      <c r="E25" s="13"/>
      <c r="H25" s="13"/>
      <c r="I25" s="13"/>
      <c r="J25" s="14"/>
      <c r="K25" s="13"/>
    </row>
    <row r="26" spans="1:19" x14ac:dyDescent="0.35">
      <c r="C26" s="13"/>
      <c r="D26" s="13"/>
      <c r="E26" s="13"/>
    </row>
    <row r="27" spans="1:19" x14ac:dyDescent="0.35">
      <c r="C27" s="13"/>
      <c r="D27" s="13"/>
      <c r="E27" s="13"/>
    </row>
    <row r="28" spans="1:19" x14ac:dyDescent="0.35">
      <c r="B28" s="13"/>
      <c r="C28" s="13"/>
      <c r="D28" s="13"/>
      <c r="E28" s="13"/>
    </row>
    <row r="29" spans="1:19" x14ac:dyDescent="0.35">
      <c r="B29" s="13"/>
      <c r="C29" s="13"/>
      <c r="D29" s="13"/>
      <c r="E29" s="13"/>
    </row>
    <row r="30" spans="1:19" x14ac:dyDescent="0.35">
      <c r="B30" s="13"/>
      <c r="C30" s="13"/>
      <c r="D30" s="13"/>
      <c r="E30" s="13"/>
    </row>
    <row r="31" spans="1:19" x14ac:dyDescent="0.35">
      <c r="A31">
        <v>18</v>
      </c>
      <c r="B31" s="13">
        <f>A31/$A$34</f>
        <v>0.58064516129032262</v>
      </c>
      <c r="C31" s="13"/>
      <c r="D31" s="13"/>
      <c r="E31" s="13"/>
      <c r="G31">
        <v>0.8</v>
      </c>
      <c r="H31">
        <f>CORREL(F31:F61,G31:G61)</f>
        <v>0.41481671978152634</v>
      </c>
    </row>
    <row r="32" spans="1:19" x14ac:dyDescent="0.35">
      <c r="A32">
        <v>4</v>
      </c>
      <c r="B32" s="13">
        <f t="shared" ref="B32:B33" si="0">A32/$A$34</f>
        <v>0.12903225806451613</v>
      </c>
      <c r="G32">
        <v>0</v>
      </c>
    </row>
    <row r="33" spans="1:21" x14ac:dyDescent="0.35">
      <c r="A33">
        <v>9</v>
      </c>
      <c r="B33" s="13">
        <f t="shared" si="0"/>
        <v>0.29032258064516131</v>
      </c>
      <c r="G33">
        <v>0.46153846153846156</v>
      </c>
      <c r="N33">
        <v>0.38999999999999996</v>
      </c>
      <c r="O33">
        <v>3</v>
      </c>
      <c r="Q33">
        <f>CORREL(N33:N47,O33:O47)</f>
        <v>8.0211217342352745E-2</v>
      </c>
      <c r="S33">
        <v>0.38999999999999996</v>
      </c>
      <c r="T33">
        <v>0.56521739130434778</v>
      </c>
      <c r="U33">
        <f>CORREL(S33:S58,T33:T58)</f>
        <v>-0.11307542602105601</v>
      </c>
    </row>
    <row r="34" spans="1:21" x14ac:dyDescent="0.35">
      <c r="A34">
        <f>SUM(A31:A33)</f>
        <v>31</v>
      </c>
      <c r="B34" s="22">
        <f>SUM(B31:B33)</f>
        <v>1</v>
      </c>
      <c r="G34">
        <v>1</v>
      </c>
      <c r="L34">
        <f>53/179</f>
        <v>0.29608938547486036</v>
      </c>
      <c r="N34">
        <v>0</v>
      </c>
      <c r="O34">
        <v>2</v>
      </c>
      <c r="S34">
        <v>0</v>
      </c>
      <c r="T34">
        <v>0</v>
      </c>
    </row>
    <row r="35" spans="1:21" x14ac:dyDescent="0.35">
      <c r="F35">
        <v>0.38999999999999996</v>
      </c>
      <c r="G35">
        <v>0.56521739130434778</v>
      </c>
      <c r="L35">
        <f>68/151</f>
        <v>0.45033112582781459</v>
      </c>
      <c r="N35">
        <v>0</v>
      </c>
      <c r="O35">
        <v>1</v>
      </c>
      <c r="S35">
        <v>0</v>
      </c>
      <c r="T35">
        <v>1</v>
      </c>
    </row>
    <row r="36" spans="1:21" x14ac:dyDescent="0.35">
      <c r="G36">
        <v>1</v>
      </c>
      <c r="L36">
        <f>7/61</f>
        <v>0.11475409836065574</v>
      </c>
      <c r="N36">
        <v>0.75</v>
      </c>
      <c r="O36">
        <v>2</v>
      </c>
      <c r="S36">
        <v>0.75</v>
      </c>
      <c r="T36">
        <v>1</v>
      </c>
    </row>
    <row r="37" spans="1:21" x14ac:dyDescent="0.35">
      <c r="G37">
        <v>1</v>
      </c>
      <c r="L37">
        <f>20/48</f>
        <v>0.41666666666666669</v>
      </c>
      <c r="N37">
        <v>1</v>
      </c>
      <c r="O37">
        <v>1</v>
      </c>
      <c r="S37">
        <v>1</v>
      </c>
      <c r="T37">
        <v>0</v>
      </c>
    </row>
    <row r="38" spans="1:21" x14ac:dyDescent="0.35">
      <c r="F38">
        <v>0</v>
      </c>
      <c r="G38">
        <v>0</v>
      </c>
      <c r="L38">
        <f>2/13</f>
        <v>0.15384615384615385</v>
      </c>
      <c r="N38">
        <v>1</v>
      </c>
      <c r="O38">
        <v>0</v>
      </c>
      <c r="S38">
        <v>1</v>
      </c>
      <c r="T38">
        <v>1</v>
      </c>
    </row>
    <row r="39" spans="1:21" x14ac:dyDescent="0.35">
      <c r="F39">
        <v>0</v>
      </c>
      <c r="G39">
        <v>1</v>
      </c>
      <c r="L39">
        <f>66/179</f>
        <v>0.36871508379888268</v>
      </c>
      <c r="N39">
        <v>0</v>
      </c>
      <c r="O39">
        <v>0</v>
      </c>
      <c r="S39">
        <v>0</v>
      </c>
      <c r="T39">
        <v>1</v>
      </c>
    </row>
    <row r="40" spans="1:21" x14ac:dyDescent="0.35">
      <c r="F40">
        <v>0.75</v>
      </c>
      <c r="G40">
        <v>1</v>
      </c>
      <c r="L40">
        <f>86/173</f>
        <v>0.49710982658959535</v>
      </c>
      <c r="N40">
        <v>0.33333333333333331</v>
      </c>
      <c r="O40">
        <v>0</v>
      </c>
      <c r="S40">
        <v>0.33333333333333331</v>
      </c>
      <c r="T40">
        <v>0.33333333333333331</v>
      </c>
    </row>
    <row r="41" spans="1:21" x14ac:dyDescent="0.35">
      <c r="N41">
        <v>0.47599999999999992</v>
      </c>
      <c r="O41">
        <v>3</v>
      </c>
      <c r="S41">
        <v>0.47599999999999992</v>
      </c>
      <c r="T41">
        <v>0</v>
      </c>
    </row>
    <row r="42" spans="1:21" x14ac:dyDescent="0.35">
      <c r="F42">
        <v>0</v>
      </c>
      <c r="G42">
        <v>0</v>
      </c>
      <c r="N42">
        <v>0.5</v>
      </c>
      <c r="O42">
        <v>2</v>
      </c>
      <c r="S42">
        <v>0.5</v>
      </c>
      <c r="T42">
        <v>1</v>
      </c>
    </row>
    <row r="43" spans="1:21" x14ac:dyDescent="0.35">
      <c r="F43">
        <v>1</v>
      </c>
      <c r="G43">
        <v>0</v>
      </c>
      <c r="N43">
        <v>0.6</v>
      </c>
      <c r="O43">
        <v>0</v>
      </c>
      <c r="S43">
        <v>0.6</v>
      </c>
      <c r="T43">
        <v>0</v>
      </c>
    </row>
    <row r="44" spans="1:21" x14ac:dyDescent="0.35">
      <c r="G44">
        <v>0.68</v>
      </c>
      <c r="N44">
        <v>0.49875000000000003</v>
      </c>
      <c r="O44">
        <v>2</v>
      </c>
      <c r="S44">
        <v>0.49875000000000003</v>
      </c>
      <c r="T44">
        <v>0.625</v>
      </c>
    </row>
    <row r="45" spans="1:21" x14ac:dyDescent="0.35">
      <c r="F45">
        <v>1</v>
      </c>
      <c r="G45">
        <v>1</v>
      </c>
      <c r="N45">
        <v>1</v>
      </c>
      <c r="O45">
        <v>1</v>
      </c>
      <c r="S45">
        <v>1</v>
      </c>
      <c r="T45">
        <v>0</v>
      </c>
    </row>
    <row r="46" spans="1:21" x14ac:dyDescent="0.35">
      <c r="F46">
        <v>0</v>
      </c>
      <c r="G46">
        <v>1</v>
      </c>
      <c r="N46">
        <v>0.13181818181818181</v>
      </c>
      <c r="O46">
        <v>1</v>
      </c>
      <c r="S46">
        <v>0.13181818181818181</v>
      </c>
      <c r="T46">
        <v>0.81818181818181823</v>
      </c>
    </row>
    <row r="47" spans="1:21" x14ac:dyDescent="0.35">
      <c r="F47">
        <v>0.33333333333333331</v>
      </c>
      <c r="G47">
        <v>0.33333333333333331</v>
      </c>
      <c r="N47">
        <v>1</v>
      </c>
      <c r="O47">
        <v>3</v>
      </c>
      <c r="S47">
        <v>1</v>
      </c>
      <c r="T47">
        <v>1</v>
      </c>
    </row>
    <row r="48" spans="1:21" x14ac:dyDescent="0.35">
      <c r="F48">
        <v>1</v>
      </c>
      <c r="G48">
        <v>1</v>
      </c>
    </row>
    <row r="49" spans="6:7" x14ac:dyDescent="0.35">
      <c r="F49">
        <v>4.8000000000000001E-2</v>
      </c>
      <c r="G49">
        <v>0</v>
      </c>
    </row>
    <row r="50" spans="6:7" x14ac:dyDescent="0.35">
      <c r="F50">
        <v>0.5</v>
      </c>
      <c r="G50">
        <v>1</v>
      </c>
    </row>
    <row r="51" spans="6:7" x14ac:dyDescent="0.35">
      <c r="G51">
        <v>0.3</v>
      </c>
    </row>
    <row r="52" spans="6:7" x14ac:dyDescent="0.35">
      <c r="G52">
        <v>1</v>
      </c>
    </row>
    <row r="53" spans="6:7" x14ac:dyDescent="0.35">
      <c r="F53">
        <v>0.2</v>
      </c>
      <c r="G53">
        <v>0</v>
      </c>
    </row>
    <row r="54" spans="6:7" x14ac:dyDescent="0.35">
      <c r="F54">
        <v>0.375</v>
      </c>
      <c r="G54">
        <v>0.5714285714285714</v>
      </c>
    </row>
    <row r="55" spans="6:7" x14ac:dyDescent="0.35">
      <c r="G55">
        <v>0.41538461538461541</v>
      </c>
    </row>
    <row r="56" spans="6:7" x14ac:dyDescent="0.35">
      <c r="G56">
        <v>0.57894736842105265</v>
      </c>
    </row>
    <row r="57" spans="6:7" x14ac:dyDescent="0.35">
      <c r="G57">
        <v>0</v>
      </c>
    </row>
    <row r="58" spans="6:7" x14ac:dyDescent="0.35">
      <c r="F58">
        <v>0</v>
      </c>
      <c r="G58">
        <v>0</v>
      </c>
    </row>
    <row r="59" spans="6:7" x14ac:dyDescent="0.35">
      <c r="G59">
        <v>0.23076923076923078</v>
      </c>
    </row>
    <row r="60" spans="6:7" x14ac:dyDescent="0.35">
      <c r="F60">
        <v>0.13181818181818181</v>
      </c>
      <c r="G60">
        <v>0.81818181818181823</v>
      </c>
    </row>
    <row r="61" spans="6:7" x14ac:dyDescent="0.35">
      <c r="F61">
        <v>1</v>
      </c>
      <c r="G6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C8ABD-A35F-4960-BD9B-B3F16F52B5CE}">
  <dimension ref="A1:D19"/>
  <sheetViews>
    <sheetView workbookViewId="0">
      <selection activeCell="B6" sqref="B6"/>
    </sheetView>
  </sheetViews>
  <sheetFormatPr defaultRowHeight="14.5" x14ac:dyDescent="0.35"/>
  <cols>
    <col min="1" max="1" width="40.81640625" bestFit="1" customWidth="1"/>
    <col min="2" max="2" width="15.81640625" bestFit="1" customWidth="1"/>
    <col min="3" max="3" width="5.81640625" bestFit="1" customWidth="1"/>
    <col min="4" max="5" width="11.81640625" bestFit="1" customWidth="1"/>
    <col min="6" max="6" width="12" bestFit="1" customWidth="1"/>
    <col min="7" max="7" width="11.26953125" bestFit="1" customWidth="1"/>
    <col min="8" max="8" width="7.453125" bestFit="1" customWidth="1"/>
    <col min="9" max="9" width="11.26953125" bestFit="1" customWidth="1"/>
    <col min="10" max="10" width="44.54296875" bestFit="1" customWidth="1"/>
    <col min="11" max="11" width="40.7265625" bestFit="1" customWidth="1"/>
    <col min="12" max="12" width="41" bestFit="1" customWidth="1"/>
    <col min="13" max="13" width="36.7265625" bestFit="1" customWidth="1"/>
  </cols>
  <sheetData>
    <row r="1" spans="1:4" x14ac:dyDescent="0.35">
      <c r="A1" s="11" t="s">
        <v>37</v>
      </c>
      <c r="B1" t="s">
        <v>156</v>
      </c>
    </row>
    <row r="2" spans="1:4" x14ac:dyDescent="0.35">
      <c r="A2" s="11" t="s">
        <v>83</v>
      </c>
      <c r="B2" t="s">
        <v>50</v>
      </c>
    </row>
    <row r="3" spans="1:4" x14ac:dyDescent="0.35">
      <c r="A3" s="11" t="s">
        <v>82</v>
      </c>
      <c r="B3" t="s">
        <v>155</v>
      </c>
    </row>
    <row r="5" spans="1:4" x14ac:dyDescent="0.35">
      <c r="B5" s="11" t="s">
        <v>152</v>
      </c>
    </row>
    <row r="6" spans="1:4" x14ac:dyDescent="0.35">
      <c r="A6" s="11" t="s">
        <v>158</v>
      </c>
      <c r="B6" t="s">
        <v>51</v>
      </c>
      <c r="C6" t="s">
        <v>50</v>
      </c>
      <c r="D6" t="s">
        <v>153</v>
      </c>
    </row>
    <row r="7" spans="1:4" x14ac:dyDescent="0.35">
      <c r="A7" s="12" t="s">
        <v>151</v>
      </c>
      <c r="B7">
        <v>12</v>
      </c>
      <c r="C7">
        <v>3</v>
      </c>
      <c r="D7">
        <v>15</v>
      </c>
    </row>
    <row r="8" spans="1:4" x14ac:dyDescent="0.35">
      <c r="A8" s="12" t="s">
        <v>157</v>
      </c>
      <c r="B8">
        <v>0.30833333333333335</v>
      </c>
      <c r="C8">
        <v>0.40300000000000002</v>
      </c>
      <c r="D8">
        <v>0.33200000000000002</v>
      </c>
    </row>
    <row r="9" spans="1:4" x14ac:dyDescent="0.35">
      <c r="A9" s="12" t="s">
        <v>159</v>
      </c>
      <c r="B9">
        <v>0.5</v>
      </c>
      <c r="D9">
        <v>0.5</v>
      </c>
    </row>
    <row r="10" spans="1:4" x14ac:dyDescent="0.35">
      <c r="A10" s="12" t="s">
        <v>160</v>
      </c>
      <c r="B10">
        <v>0.27166666666666667</v>
      </c>
      <c r="C10">
        <v>0</v>
      </c>
      <c r="D10">
        <v>0.23285714285714285</v>
      </c>
    </row>
    <row r="11" spans="1:4" x14ac:dyDescent="0.35">
      <c r="A11" s="12" t="s">
        <v>161</v>
      </c>
    </row>
    <row r="12" spans="1:4" x14ac:dyDescent="0.35">
      <c r="A12" s="12" t="s">
        <v>162</v>
      </c>
      <c r="B12">
        <v>0.28333333333333333</v>
      </c>
      <c r="C12">
        <v>2.4E-2</v>
      </c>
      <c r="D12">
        <v>0.2185</v>
      </c>
    </row>
    <row r="13" spans="1:4" x14ac:dyDescent="0.35">
      <c r="A13" s="12" t="s">
        <v>163</v>
      </c>
      <c r="B13">
        <v>0.5</v>
      </c>
      <c r="D13">
        <v>0.5</v>
      </c>
    </row>
    <row r="14" spans="1:4" x14ac:dyDescent="0.35">
      <c r="A14" s="12" t="s">
        <v>164</v>
      </c>
      <c r="B14">
        <v>0.49875000000000003</v>
      </c>
      <c r="C14">
        <v>0.8</v>
      </c>
      <c r="D14">
        <v>0.55899999999999994</v>
      </c>
    </row>
    <row r="15" spans="1:4" x14ac:dyDescent="0.35">
      <c r="A15" s="12" t="s">
        <v>165</v>
      </c>
    </row>
    <row r="16" spans="1:4" x14ac:dyDescent="0.35">
      <c r="A16" s="12" t="s">
        <v>166</v>
      </c>
      <c r="B16">
        <v>1</v>
      </c>
      <c r="D16">
        <v>1</v>
      </c>
    </row>
    <row r="17" spans="1:1" x14ac:dyDescent="0.35">
      <c r="A17" s="12" t="s">
        <v>167</v>
      </c>
    </row>
    <row r="18" spans="1:1" x14ac:dyDescent="0.35">
      <c r="A18" s="12" t="s">
        <v>168</v>
      </c>
    </row>
    <row r="19" spans="1:1" x14ac:dyDescent="0.35">
      <c r="A19" s="12" t="s">
        <v>169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4D7BB-EC26-4B98-8E89-7DC39FE76795}">
  <dimension ref="A1:H35"/>
  <sheetViews>
    <sheetView topLeftCell="A12" workbookViewId="0">
      <selection activeCell="H14" sqref="H14"/>
    </sheetView>
  </sheetViews>
  <sheetFormatPr defaultRowHeight="14.5" x14ac:dyDescent="0.35"/>
  <cols>
    <col min="1" max="1" width="12.453125" bestFit="1" customWidth="1"/>
    <col min="2" max="2" width="16.08984375" bestFit="1" customWidth="1"/>
    <col min="3" max="3" width="22.26953125" bestFit="1" customWidth="1"/>
  </cols>
  <sheetData>
    <row r="1" spans="1:8" x14ac:dyDescent="0.35">
      <c r="A1" s="11" t="s">
        <v>37</v>
      </c>
      <c r="B1" t="s">
        <v>156</v>
      </c>
    </row>
    <row r="2" spans="1:8" x14ac:dyDescent="0.35">
      <c r="A2" s="11" t="s">
        <v>83</v>
      </c>
      <c r="B2" t="s">
        <v>50</v>
      </c>
    </row>
    <row r="4" spans="1:8" x14ac:dyDescent="0.35">
      <c r="A4" s="11" t="s">
        <v>154</v>
      </c>
      <c r="B4" t="s">
        <v>151</v>
      </c>
      <c r="C4" t="s">
        <v>217</v>
      </c>
    </row>
    <row r="5" spans="1:8" x14ac:dyDescent="0.35">
      <c r="A5" s="12" t="s">
        <v>121</v>
      </c>
      <c r="B5">
        <v>3</v>
      </c>
      <c r="C5">
        <v>0.30278706800445937</v>
      </c>
    </row>
    <row r="6" spans="1:8" x14ac:dyDescent="0.35">
      <c r="A6" s="12" t="s">
        <v>122</v>
      </c>
      <c r="B6">
        <v>15</v>
      </c>
      <c r="C6">
        <v>0.29972532340953395</v>
      </c>
    </row>
    <row r="7" spans="1:8" x14ac:dyDescent="0.35">
      <c r="A7" s="12" t="s">
        <v>120</v>
      </c>
      <c r="B7">
        <v>4</v>
      </c>
      <c r="C7">
        <v>0.70500000000000007</v>
      </c>
    </row>
    <row r="8" spans="1:8" x14ac:dyDescent="0.35">
      <c r="A8" s="12" t="s">
        <v>153</v>
      </c>
      <c r="B8">
        <v>22</v>
      </c>
      <c r="C8">
        <v>0.37382913887074487</v>
      </c>
    </row>
    <row r="13" spans="1:8" x14ac:dyDescent="0.35">
      <c r="F13">
        <v>1</v>
      </c>
      <c r="G13">
        <v>0.6</v>
      </c>
      <c r="H13">
        <f>CORREL(F13:F35,G13:G35)</f>
        <v>4.8960396942196838E-2</v>
      </c>
    </row>
    <row r="14" spans="1:8" x14ac:dyDescent="0.35">
      <c r="F14">
        <v>1</v>
      </c>
      <c r="G14">
        <v>0</v>
      </c>
    </row>
    <row r="15" spans="1:8" x14ac:dyDescent="0.35">
      <c r="F15">
        <v>4</v>
      </c>
      <c r="G15">
        <v>0.8</v>
      </c>
    </row>
    <row r="16" spans="1:8" x14ac:dyDescent="0.35">
      <c r="F16">
        <v>3</v>
      </c>
      <c r="G16">
        <v>4.5217391304347827E-2</v>
      </c>
    </row>
    <row r="17" spans="1:7" x14ac:dyDescent="0.35">
      <c r="A17" t="s">
        <v>218</v>
      </c>
      <c r="B17">
        <v>23</v>
      </c>
      <c r="F17">
        <v>1</v>
      </c>
      <c r="G17">
        <v>1</v>
      </c>
    </row>
    <row r="18" spans="1:7" x14ac:dyDescent="0.35">
      <c r="A18" t="s">
        <v>219</v>
      </c>
      <c r="B18">
        <v>16</v>
      </c>
      <c r="F18">
        <v>1</v>
      </c>
      <c r="G18">
        <v>1</v>
      </c>
    </row>
    <row r="19" spans="1:7" x14ac:dyDescent="0.35">
      <c r="A19" t="s">
        <v>220</v>
      </c>
      <c r="B19">
        <v>2</v>
      </c>
      <c r="F19">
        <v>0</v>
      </c>
      <c r="G19">
        <v>0</v>
      </c>
    </row>
    <row r="20" spans="1:7" x14ac:dyDescent="0.35">
      <c r="F20">
        <v>3</v>
      </c>
      <c r="G20">
        <v>0.47599999999999992</v>
      </c>
    </row>
    <row r="21" spans="1:7" x14ac:dyDescent="0.35">
      <c r="F21">
        <v>1</v>
      </c>
      <c r="G21">
        <v>1</v>
      </c>
    </row>
    <row r="22" spans="1:7" x14ac:dyDescent="0.35">
      <c r="F22">
        <v>2</v>
      </c>
      <c r="G22">
        <v>0.88000004000000009</v>
      </c>
    </row>
    <row r="23" spans="1:7" x14ac:dyDescent="0.35">
      <c r="F23">
        <v>2</v>
      </c>
      <c r="G23">
        <v>0</v>
      </c>
    </row>
    <row r="24" spans="1:7" x14ac:dyDescent="0.35">
      <c r="F24">
        <v>1</v>
      </c>
      <c r="G24">
        <v>1</v>
      </c>
    </row>
    <row r="25" spans="1:7" x14ac:dyDescent="0.35">
      <c r="F25">
        <v>0</v>
      </c>
      <c r="G25">
        <v>0</v>
      </c>
    </row>
    <row r="26" spans="1:7" x14ac:dyDescent="0.35">
      <c r="F26">
        <v>2</v>
      </c>
      <c r="G26">
        <v>0.59700000000000009</v>
      </c>
    </row>
    <row r="27" spans="1:7" x14ac:dyDescent="0.35">
      <c r="F27">
        <v>2</v>
      </c>
      <c r="G27">
        <v>0.5</v>
      </c>
    </row>
    <row r="28" spans="1:7" x14ac:dyDescent="0.35">
      <c r="F28">
        <v>0</v>
      </c>
      <c r="G28">
        <v>0.6</v>
      </c>
    </row>
    <row r="29" spans="1:7" x14ac:dyDescent="0.35">
      <c r="F29">
        <v>2</v>
      </c>
      <c r="G29">
        <v>0.16500000000000001</v>
      </c>
    </row>
    <row r="30" spans="1:7" x14ac:dyDescent="0.35">
      <c r="F30">
        <v>4</v>
      </c>
      <c r="G30">
        <v>0.26007692307692309</v>
      </c>
    </row>
    <row r="31" spans="1:7" x14ac:dyDescent="0.35">
      <c r="F31">
        <v>2</v>
      </c>
      <c r="G31">
        <v>0.57894736842105265</v>
      </c>
    </row>
    <row r="32" spans="1:7" x14ac:dyDescent="0.35">
      <c r="F32">
        <v>2</v>
      </c>
      <c r="G32">
        <v>1</v>
      </c>
    </row>
    <row r="33" spans="6:7" x14ac:dyDescent="0.35">
      <c r="F33">
        <v>1</v>
      </c>
      <c r="G33">
        <v>0</v>
      </c>
    </row>
    <row r="34" spans="6:7" x14ac:dyDescent="0.35">
      <c r="F34">
        <v>3</v>
      </c>
      <c r="G34">
        <v>0.38461538461538464</v>
      </c>
    </row>
    <row r="35" spans="6:7" x14ac:dyDescent="0.35">
      <c r="F35">
        <v>1</v>
      </c>
      <c r="G35">
        <v>8.6363636363636365E-2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19C7-BA26-4626-A809-0074E0BEECDF}">
  <dimension ref="A2:H20"/>
  <sheetViews>
    <sheetView workbookViewId="0">
      <selection activeCell="B9" sqref="B9:E12"/>
    </sheetView>
  </sheetViews>
  <sheetFormatPr defaultRowHeight="14.5" x14ac:dyDescent="0.35"/>
  <cols>
    <col min="1" max="1" width="34.6328125" bestFit="1" customWidth="1"/>
    <col min="2" max="2" width="15.6328125" bestFit="1" customWidth="1"/>
    <col min="3" max="4" width="9.453125" bestFit="1" customWidth="1"/>
    <col min="5" max="5" width="3.1796875" bestFit="1" customWidth="1"/>
    <col min="6" max="6" width="10.36328125" bestFit="1" customWidth="1"/>
    <col min="7" max="8" width="9.7265625" bestFit="1" customWidth="1"/>
    <col min="9" max="9" width="11.26953125" bestFit="1" customWidth="1"/>
  </cols>
  <sheetData>
    <row r="2" spans="1:8" x14ac:dyDescent="0.35">
      <c r="A2" s="11" t="s">
        <v>37</v>
      </c>
      <c r="B2" t="s" vm="2">
        <v>137</v>
      </c>
    </row>
    <row r="3" spans="1:8" x14ac:dyDescent="0.35">
      <c r="A3" s="11" t="s">
        <v>83</v>
      </c>
      <c r="B3" t="s" vm="3">
        <v>50</v>
      </c>
    </row>
    <row r="4" spans="1:8" x14ac:dyDescent="0.35">
      <c r="A4" s="11" t="s">
        <v>82</v>
      </c>
      <c r="B4" t="s" vm="1">
        <v>137</v>
      </c>
    </row>
    <row r="6" spans="1:8" x14ac:dyDescent="0.35">
      <c r="B6" s="11" t="s">
        <v>152</v>
      </c>
    </row>
    <row r="7" spans="1:8" x14ac:dyDescent="0.35">
      <c r="A7" s="11" t="s">
        <v>158</v>
      </c>
      <c r="B7" t="s">
        <v>35</v>
      </c>
      <c r="C7" t="s">
        <v>173</v>
      </c>
      <c r="D7" t="s">
        <v>172</v>
      </c>
      <c r="E7" t="s">
        <v>36</v>
      </c>
      <c r="F7" t="s">
        <v>153</v>
      </c>
    </row>
    <row r="8" spans="1:8" x14ac:dyDescent="0.35">
      <c r="A8" s="12" t="s">
        <v>151</v>
      </c>
      <c r="B8">
        <v>9</v>
      </c>
      <c r="C8">
        <v>9</v>
      </c>
      <c r="D8">
        <v>7</v>
      </c>
      <c r="E8">
        <v>2</v>
      </c>
      <c r="F8">
        <v>27</v>
      </c>
      <c r="H8">
        <v>97</v>
      </c>
    </row>
    <row r="9" spans="1:8" x14ac:dyDescent="0.35">
      <c r="A9" s="12" t="s">
        <v>198</v>
      </c>
      <c r="B9">
        <v>59</v>
      </c>
      <c r="C9">
        <v>33</v>
      </c>
      <c r="D9">
        <v>21</v>
      </c>
      <c r="E9">
        <v>8</v>
      </c>
      <c r="F9">
        <v>121</v>
      </c>
      <c r="H9">
        <v>58</v>
      </c>
    </row>
    <row r="10" spans="1:8" x14ac:dyDescent="0.35">
      <c r="A10" s="12" t="s">
        <v>199</v>
      </c>
      <c r="B10">
        <v>57</v>
      </c>
      <c r="C10">
        <v>0</v>
      </c>
      <c r="D10">
        <v>1</v>
      </c>
      <c r="E10">
        <v>0</v>
      </c>
      <c r="F10">
        <v>58</v>
      </c>
      <c r="H10">
        <v>106</v>
      </c>
    </row>
    <row r="11" spans="1:8" x14ac:dyDescent="0.35">
      <c r="A11" s="12" t="s">
        <v>200</v>
      </c>
      <c r="B11">
        <v>76</v>
      </c>
      <c r="C11">
        <v>31</v>
      </c>
      <c r="D11">
        <v>21</v>
      </c>
      <c r="E11">
        <v>8</v>
      </c>
      <c r="F11">
        <v>136</v>
      </c>
      <c r="H11">
        <v>15</v>
      </c>
    </row>
    <row r="12" spans="1:8" x14ac:dyDescent="0.35">
      <c r="A12" s="12" t="s">
        <v>201</v>
      </c>
      <c r="B12">
        <v>15</v>
      </c>
      <c r="C12">
        <v>0</v>
      </c>
      <c r="D12">
        <v>0</v>
      </c>
      <c r="E12">
        <v>0</v>
      </c>
      <c r="F12">
        <v>15</v>
      </c>
      <c r="H12">
        <v>59</v>
      </c>
    </row>
    <row r="13" spans="1:8" x14ac:dyDescent="0.35">
      <c r="A13" s="12" t="s">
        <v>202</v>
      </c>
      <c r="B13">
        <v>5</v>
      </c>
      <c r="C13">
        <v>33</v>
      </c>
      <c r="D13">
        <v>21</v>
      </c>
      <c r="F13">
        <v>59</v>
      </c>
      <c r="H13">
        <v>2</v>
      </c>
    </row>
    <row r="14" spans="1:8" x14ac:dyDescent="0.35">
      <c r="A14" s="12" t="s">
        <v>203</v>
      </c>
      <c r="B14">
        <v>1</v>
      </c>
      <c r="C14">
        <v>0</v>
      </c>
      <c r="D14">
        <v>1</v>
      </c>
      <c r="F14">
        <v>2</v>
      </c>
      <c r="H14">
        <v>55</v>
      </c>
    </row>
    <row r="15" spans="1:8" x14ac:dyDescent="0.35">
      <c r="A15" s="12" t="s">
        <v>204</v>
      </c>
      <c r="B15">
        <v>9</v>
      </c>
      <c r="C15">
        <v>18</v>
      </c>
      <c r="D15">
        <v>22</v>
      </c>
      <c r="F15">
        <v>49</v>
      </c>
      <c r="H15">
        <v>0</v>
      </c>
    </row>
    <row r="16" spans="1:8" x14ac:dyDescent="0.35">
      <c r="A16" s="12" t="s">
        <v>205</v>
      </c>
      <c r="B16">
        <v>0</v>
      </c>
      <c r="C16">
        <v>0</v>
      </c>
      <c r="D16">
        <v>0</v>
      </c>
      <c r="F16">
        <v>0</v>
      </c>
      <c r="H16">
        <v>12</v>
      </c>
    </row>
    <row r="17" spans="1:8" x14ac:dyDescent="0.35">
      <c r="A17" s="12" t="s">
        <v>206</v>
      </c>
      <c r="C17">
        <v>0</v>
      </c>
      <c r="D17">
        <v>12</v>
      </c>
      <c r="F17">
        <v>12</v>
      </c>
      <c r="H17">
        <v>0</v>
      </c>
    </row>
    <row r="18" spans="1:8" x14ac:dyDescent="0.35">
      <c r="A18" s="12" t="s">
        <v>207</v>
      </c>
      <c r="C18">
        <v>0</v>
      </c>
      <c r="D18">
        <v>0</v>
      </c>
      <c r="F18">
        <v>0</v>
      </c>
      <c r="H18">
        <v>13</v>
      </c>
    </row>
    <row r="19" spans="1:8" x14ac:dyDescent="0.35">
      <c r="A19" s="12" t="s">
        <v>208</v>
      </c>
      <c r="C19">
        <v>7</v>
      </c>
      <c r="D19">
        <v>0</v>
      </c>
      <c r="F19">
        <v>7</v>
      </c>
      <c r="H19">
        <v>6</v>
      </c>
    </row>
    <row r="20" spans="1:8" x14ac:dyDescent="0.35">
      <c r="A20" s="12" t="s">
        <v>209</v>
      </c>
      <c r="C20">
        <v>6</v>
      </c>
      <c r="D20">
        <v>0</v>
      </c>
      <c r="F20">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8F38-B63E-4B56-9F10-245183D6A3D3}">
  <dimension ref="A2:U39"/>
  <sheetViews>
    <sheetView workbookViewId="0">
      <selection activeCell="M22" sqref="M22"/>
    </sheetView>
  </sheetViews>
  <sheetFormatPr defaultRowHeight="14.5" x14ac:dyDescent="0.35"/>
  <cols>
    <col min="1" max="1" width="44.90625" bestFit="1" customWidth="1"/>
    <col min="2" max="2" width="15.81640625" bestFit="1" customWidth="1"/>
    <col min="3" max="4" width="9.453125" bestFit="1" customWidth="1"/>
    <col min="5" max="5" width="4.81640625" bestFit="1" customWidth="1"/>
    <col min="6" max="6" width="10.36328125" bestFit="1" customWidth="1"/>
    <col min="7" max="9" width="9.453125" customWidth="1"/>
    <col min="10" max="10" width="9.26953125" customWidth="1"/>
  </cols>
  <sheetData>
    <row r="2" spans="1:15" x14ac:dyDescent="0.35">
      <c r="A2" s="11" t="s">
        <v>37</v>
      </c>
      <c r="B2" t="s">
        <v>156</v>
      </c>
    </row>
    <row r="3" spans="1:15" x14ac:dyDescent="0.35">
      <c r="A3" s="11" t="s">
        <v>83</v>
      </c>
      <c r="B3" t="s">
        <v>50</v>
      </c>
    </row>
    <row r="4" spans="1:15" x14ac:dyDescent="0.35">
      <c r="A4" s="11" t="s">
        <v>82</v>
      </c>
      <c r="B4" t="s">
        <v>155</v>
      </c>
    </row>
    <row r="6" spans="1:15" x14ac:dyDescent="0.35">
      <c r="B6" s="11" t="s">
        <v>152</v>
      </c>
    </row>
    <row r="7" spans="1:15" x14ac:dyDescent="0.35">
      <c r="A7" s="11" t="s">
        <v>158</v>
      </c>
      <c r="B7" t="s">
        <v>35</v>
      </c>
      <c r="C7" t="s">
        <v>173</v>
      </c>
      <c r="D7" t="s">
        <v>172</v>
      </c>
      <c r="E7" t="s">
        <v>36</v>
      </c>
      <c r="F7" t="s">
        <v>153</v>
      </c>
      <c r="J7">
        <v>10</v>
      </c>
      <c r="K7">
        <v>0.99</v>
      </c>
      <c r="L7">
        <v>34</v>
      </c>
      <c r="M7">
        <v>3</v>
      </c>
      <c r="N7">
        <f>J7/L7</f>
        <v>0.29411764705882354</v>
      </c>
      <c r="O7">
        <f>K7/M7</f>
        <v>0.33</v>
      </c>
    </row>
    <row r="8" spans="1:15" x14ac:dyDescent="0.35">
      <c r="A8" s="12" t="s">
        <v>151</v>
      </c>
      <c r="B8">
        <v>8</v>
      </c>
      <c r="C8">
        <v>6</v>
      </c>
      <c r="D8">
        <v>6</v>
      </c>
      <c r="E8">
        <v>2</v>
      </c>
      <c r="F8">
        <v>22</v>
      </c>
      <c r="J8">
        <v>1.99</v>
      </c>
      <c r="L8">
        <v>4</v>
      </c>
      <c r="M8">
        <v>0</v>
      </c>
      <c r="N8">
        <f t="shared" ref="N8:N18" si="0">J8/L8</f>
        <v>0.4975</v>
      </c>
      <c r="O8" t="e">
        <f t="shared" ref="O8:O18" si="1">K8/M8</f>
        <v>#DIV/0!</v>
      </c>
    </row>
    <row r="9" spans="1:15" x14ac:dyDescent="0.35">
      <c r="A9" s="12" t="s">
        <v>186</v>
      </c>
      <c r="B9">
        <v>8</v>
      </c>
      <c r="C9">
        <v>6</v>
      </c>
      <c r="D9">
        <v>6</v>
      </c>
      <c r="E9">
        <v>2</v>
      </c>
      <c r="F9">
        <v>22</v>
      </c>
      <c r="J9">
        <v>8.98</v>
      </c>
      <c r="K9">
        <v>6</v>
      </c>
      <c r="L9">
        <v>16</v>
      </c>
      <c r="M9">
        <v>9</v>
      </c>
      <c r="N9">
        <f t="shared" si="0"/>
        <v>0.56125000000000003</v>
      </c>
      <c r="O9">
        <f t="shared" si="1"/>
        <v>0.66666666666666663</v>
      </c>
    </row>
    <row r="10" spans="1:15" x14ac:dyDescent="0.35">
      <c r="A10" s="12" t="s">
        <v>187</v>
      </c>
      <c r="B10">
        <v>10.92</v>
      </c>
      <c r="C10">
        <v>0</v>
      </c>
      <c r="D10">
        <v>0</v>
      </c>
      <c r="E10">
        <v>0</v>
      </c>
      <c r="F10">
        <v>10.92</v>
      </c>
      <c r="L10">
        <v>0</v>
      </c>
      <c r="M10">
        <v>0</v>
      </c>
      <c r="N10" t="e">
        <f t="shared" si="0"/>
        <v>#DIV/0!</v>
      </c>
      <c r="O10" t="e">
        <f t="shared" si="1"/>
        <v>#DIV/0!</v>
      </c>
    </row>
    <row r="11" spans="1:15" x14ac:dyDescent="0.35">
      <c r="A11" s="12" t="s">
        <v>188</v>
      </c>
      <c r="B11">
        <v>27.308824000000001</v>
      </c>
      <c r="C11">
        <v>0.8</v>
      </c>
      <c r="D11">
        <v>0.2</v>
      </c>
      <c r="E11">
        <v>1.25</v>
      </c>
      <c r="F11">
        <v>29.558824000000001</v>
      </c>
      <c r="J11">
        <v>3</v>
      </c>
      <c r="K11">
        <v>0</v>
      </c>
      <c r="L11">
        <v>21</v>
      </c>
      <c r="M11">
        <v>3</v>
      </c>
      <c r="N11">
        <f t="shared" si="0"/>
        <v>0.14285714285714285</v>
      </c>
      <c r="O11">
        <f t="shared" si="1"/>
        <v>0</v>
      </c>
    </row>
    <row r="12" spans="1:15" x14ac:dyDescent="0.35">
      <c r="A12" s="12" t="s">
        <v>189</v>
      </c>
      <c r="B12">
        <v>7.02</v>
      </c>
      <c r="C12">
        <v>0</v>
      </c>
      <c r="D12">
        <v>0</v>
      </c>
      <c r="E12">
        <v>0</v>
      </c>
      <c r="F12">
        <v>7.02</v>
      </c>
      <c r="J12">
        <v>1</v>
      </c>
      <c r="L12">
        <v>1</v>
      </c>
      <c r="M12">
        <v>0</v>
      </c>
      <c r="N12">
        <f t="shared" si="0"/>
        <v>1</v>
      </c>
      <c r="O12" t="e">
        <f t="shared" si="1"/>
        <v>#DIV/0!</v>
      </c>
    </row>
    <row r="13" spans="1:15" x14ac:dyDescent="0.35">
      <c r="A13" s="12" t="s">
        <v>190</v>
      </c>
      <c r="B13">
        <v>2</v>
      </c>
      <c r="C13">
        <v>1.008</v>
      </c>
      <c r="D13">
        <v>3</v>
      </c>
      <c r="E13">
        <v>0</v>
      </c>
      <c r="F13">
        <v>6.008</v>
      </c>
      <c r="J13">
        <v>3</v>
      </c>
      <c r="K13">
        <v>10</v>
      </c>
      <c r="L13">
        <v>5</v>
      </c>
      <c r="M13">
        <v>13</v>
      </c>
      <c r="N13">
        <f t="shared" si="0"/>
        <v>0.6</v>
      </c>
      <c r="O13">
        <f t="shared" si="1"/>
        <v>0.76923076923076927</v>
      </c>
    </row>
    <row r="14" spans="1:15" x14ac:dyDescent="0.35">
      <c r="A14" s="12" t="s">
        <v>191</v>
      </c>
      <c r="B14">
        <v>1</v>
      </c>
      <c r="C14">
        <v>0</v>
      </c>
      <c r="D14">
        <v>0</v>
      </c>
      <c r="E14">
        <v>0</v>
      </c>
      <c r="F14">
        <v>1</v>
      </c>
      <c r="L14">
        <v>0</v>
      </c>
      <c r="M14">
        <v>0</v>
      </c>
      <c r="N14" t="e">
        <f t="shared" si="0"/>
        <v>#DIV/0!</v>
      </c>
      <c r="O14" t="e">
        <f t="shared" si="1"/>
        <v>#DIV/0!</v>
      </c>
    </row>
    <row r="15" spans="1:15" x14ac:dyDescent="0.35">
      <c r="A15" s="12" t="s">
        <v>192</v>
      </c>
      <c r="B15">
        <v>3</v>
      </c>
      <c r="C15">
        <v>10.969999999999999</v>
      </c>
      <c r="D15">
        <v>1.9</v>
      </c>
      <c r="E15">
        <v>0</v>
      </c>
      <c r="F15">
        <v>15.87</v>
      </c>
      <c r="J15">
        <v>12</v>
      </c>
      <c r="L15">
        <v>12</v>
      </c>
      <c r="M15">
        <v>0</v>
      </c>
      <c r="N15">
        <f t="shared" si="0"/>
        <v>1</v>
      </c>
      <c r="O15" t="e">
        <f t="shared" si="1"/>
        <v>#DIV/0!</v>
      </c>
    </row>
    <row r="16" spans="1:15" x14ac:dyDescent="0.35">
      <c r="A16" s="12" t="s">
        <v>193</v>
      </c>
      <c r="B16">
        <v>0</v>
      </c>
      <c r="C16">
        <v>0</v>
      </c>
      <c r="D16">
        <v>0</v>
      </c>
      <c r="E16">
        <v>0</v>
      </c>
      <c r="F16">
        <v>0</v>
      </c>
      <c r="L16">
        <v>0</v>
      </c>
      <c r="M16">
        <v>0</v>
      </c>
      <c r="N16" t="e">
        <f t="shared" si="0"/>
        <v>#DIV/0!</v>
      </c>
      <c r="O16" t="e">
        <f t="shared" si="1"/>
        <v>#DIV/0!</v>
      </c>
    </row>
    <row r="17" spans="1:21" x14ac:dyDescent="0.35">
      <c r="A17" s="12" t="s">
        <v>194</v>
      </c>
      <c r="B17">
        <v>0</v>
      </c>
      <c r="C17">
        <v>0</v>
      </c>
      <c r="D17">
        <v>12</v>
      </c>
      <c r="E17">
        <v>0</v>
      </c>
      <c r="F17">
        <v>12</v>
      </c>
      <c r="K17">
        <v>6</v>
      </c>
      <c r="L17">
        <v>0</v>
      </c>
      <c r="M17">
        <v>6</v>
      </c>
      <c r="N17" t="e">
        <f t="shared" si="0"/>
        <v>#DIV/0!</v>
      </c>
      <c r="O17">
        <f t="shared" si="1"/>
        <v>1</v>
      </c>
    </row>
    <row r="18" spans="1:21" x14ac:dyDescent="0.35">
      <c r="A18" s="12" t="s">
        <v>195</v>
      </c>
      <c r="B18">
        <v>0</v>
      </c>
      <c r="C18">
        <v>0</v>
      </c>
      <c r="D18">
        <v>0</v>
      </c>
      <c r="E18">
        <v>0</v>
      </c>
      <c r="F18">
        <v>0</v>
      </c>
      <c r="L18">
        <v>0</v>
      </c>
      <c r="M18">
        <v>0</v>
      </c>
      <c r="N18" t="e">
        <f t="shared" si="0"/>
        <v>#DIV/0!</v>
      </c>
      <c r="O18" t="e">
        <f t="shared" si="1"/>
        <v>#DIV/0!</v>
      </c>
    </row>
    <row r="19" spans="1:21" x14ac:dyDescent="0.35">
      <c r="A19" s="12" t="s">
        <v>196</v>
      </c>
      <c r="B19">
        <v>0</v>
      </c>
      <c r="C19">
        <v>0</v>
      </c>
      <c r="D19">
        <v>0</v>
      </c>
      <c r="E19">
        <v>0</v>
      </c>
      <c r="F19">
        <v>0</v>
      </c>
    </row>
    <row r="20" spans="1:21" x14ac:dyDescent="0.35">
      <c r="A20" s="12" t="s">
        <v>197</v>
      </c>
      <c r="B20">
        <v>0</v>
      </c>
      <c r="C20">
        <v>0</v>
      </c>
      <c r="D20">
        <v>0</v>
      </c>
      <c r="E20">
        <v>0</v>
      </c>
      <c r="F20">
        <v>0</v>
      </c>
    </row>
    <row r="22" spans="1:21" x14ac:dyDescent="0.35">
      <c r="J22">
        <v>20.09</v>
      </c>
      <c r="K22">
        <v>9.9959999999999987</v>
      </c>
      <c r="L22">
        <v>4</v>
      </c>
      <c r="M22">
        <v>1</v>
      </c>
      <c r="N22">
        <v>51</v>
      </c>
      <c r="O22">
        <v>33</v>
      </c>
      <c r="P22">
        <v>21</v>
      </c>
      <c r="Q22">
        <v>8</v>
      </c>
      <c r="R22">
        <f>J22/N22</f>
        <v>0.39392156862745098</v>
      </c>
      <c r="S22">
        <f>K22/O22</f>
        <v>0.30290909090909085</v>
      </c>
      <c r="T22">
        <f>L22/P22</f>
        <v>0.19047619047619047</v>
      </c>
      <c r="U22">
        <f>M22/Q22</f>
        <v>0.125</v>
      </c>
    </row>
    <row r="23" spans="1:21" x14ac:dyDescent="0.35">
      <c r="J23">
        <v>10.92</v>
      </c>
      <c r="L23">
        <v>0</v>
      </c>
      <c r="N23">
        <v>57</v>
      </c>
      <c r="O23">
        <v>0</v>
      </c>
      <c r="P23">
        <v>1</v>
      </c>
      <c r="Q23">
        <v>0</v>
      </c>
      <c r="R23">
        <f t="shared" ref="R23:R25" si="2">J23/N23</f>
        <v>0.19157894736842104</v>
      </c>
      <c r="S23" t="e">
        <f t="shared" ref="S23:S25" si="3">K23/O23</f>
        <v>#DIV/0!</v>
      </c>
      <c r="T23">
        <f t="shared" ref="T23:T25" si="4">L23/P23</f>
        <v>0</v>
      </c>
      <c r="U23" t="e">
        <f t="shared" ref="U23:U25" si="5">M23/Q23</f>
        <v>#DIV/0!</v>
      </c>
    </row>
    <row r="24" spans="1:21" x14ac:dyDescent="0.35">
      <c r="J24">
        <v>22.740000000000002</v>
      </c>
      <c r="K24">
        <v>16.04</v>
      </c>
      <c r="L24">
        <v>7.9</v>
      </c>
      <c r="M24">
        <v>5</v>
      </c>
      <c r="N24">
        <v>59</v>
      </c>
      <c r="O24">
        <v>31</v>
      </c>
      <c r="P24">
        <v>27</v>
      </c>
      <c r="Q24">
        <v>8</v>
      </c>
      <c r="R24">
        <f t="shared" si="2"/>
        <v>0.38542372881355935</v>
      </c>
      <c r="S24">
        <f t="shared" si="3"/>
        <v>0.5174193548387096</v>
      </c>
      <c r="T24">
        <f t="shared" si="4"/>
        <v>0.29259259259259263</v>
      </c>
      <c r="U24">
        <f t="shared" si="5"/>
        <v>0.625</v>
      </c>
    </row>
    <row r="25" spans="1:21" x14ac:dyDescent="0.35">
      <c r="J25">
        <v>7.02</v>
      </c>
      <c r="N25">
        <v>15</v>
      </c>
      <c r="O25">
        <v>0</v>
      </c>
      <c r="P25">
        <v>0</v>
      </c>
      <c r="Q25">
        <v>0</v>
      </c>
      <c r="R25">
        <f t="shared" si="2"/>
        <v>0.46799999999999997</v>
      </c>
      <c r="S25" t="e">
        <f t="shared" si="3"/>
        <v>#DIV/0!</v>
      </c>
      <c r="T25" t="e">
        <f t="shared" si="4"/>
        <v>#DIV/0!</v>
      </c>
      <c r="U25" t="e">
        <f t="shared" si="5"/>
        <v>#DIV/0!</v>
      </c>
    </row>
    <row r="28" spans="1:21" x14ac:dyDescent="0.35">
      <c r="A28" t="s">
        <v>186</v>
      </c>
      <c r="B28">
        <v>13.05</v>
      </c>
      <c r="C28">
        <v>9.9959999999999987</v>
      </c>
      <c r="D28">
        <v>4</v>
      </c>
      <c r="E28">
        <v>28.045999999999999</v>
      </c>
      <c r="F28">
        <v>43</v>
      </c>
      <c r="G28">
        <v>33</v>
      </c>
      <c r="H28">
        <v>21</v>
      </c>
      <c r="I28">
        <v>105</v>
      </c>
      <c r="J28" s="17">
        <f>B28/F28</f>
        <v>0.30348837209302326</v>
      </c>
      <c r="K28" s="17">
        <f>C28/G28</f>
        <v>0.30290909090909085</v>
      </c>
      <c r="L28" s="17">
        <f>D28/H28</f>
        <v>0.19047619047619047</v>
      </c>
      <c r="M28">
        <f>E28/I28</f>
        <v>0.2671047619047619</v>
      </c>
      <c r="O28">
        <f>P28/I28</f>
        <v>9.5238095238095247E-3</v>
      </c>
      <c r="P28">
        <v>1</v>
      </c>
    </row>
    <row r="29" spans="1:21" x14ac:dyDescent="0.35">
      <c r="A29" t="s">
        <v>187</v>
      </c>
      <c r="B29">
        <v>10.92</v>
      </c>
      <c r="D29">
        <v>0</v>
      </c>
      <c r="E29">
        <v>10.92</v>
      </c>
      <c r="F29">
        <v>57</v>
      </c>
      <c r="G29">
        <v>0</v>
      </c>
      <c r="H29">
        <v>1</v>
      </c>
      <c r="I29">
        <v>58</v>
      </c>
      <c r="J29" s="17">
        <f t="shared" ref="J29:J39" si="6">B29/F29</f>
        <v>0.19157894736842104</v>
      </c>
      <c r="K29" s="17" t="e">
        <f t="shared" ref="K29:K39" si="7">C29/G29</f>
        <v>#DIV/0!</v>
      </c>
      <c r="L29" s="17">
        <f t="shared" ref="L29:L39" si="8">D29/H29</f>
        <v>0</v>
      </c>
      <c r="M29">
        <f t="shared" ref="M29:M39" si="9">E29/I29</f>
        <v>0.18827586206896552</v>
      </c>
      <c r="O29">
        <f>P29/I29</f>
        <v>0</v>
      </c>
    </row>
    <row r="30" spans="1:21" x14ac:dyDescent="0.35">
      <c r="A30" t="s">
        <v>188</v>
      </c>
      <c r="B30">
        <v>18.78</v>
      </c>
      <c r="C30">
        <v>16.04</v>
      </c>
      <c r="D30">
        <v>7.9</v>
      </c>
      <c r="E30">
        <v>47.72</v>
      </c>
      <c r="F30">
        <v>48</v>
      </c>
      <c r="G30">
        <v>31</v>
      </c>
      <c r="H30">
        <v>27</v>
      </c>
      <c r="I30">
        <v>114</v>
      </c>
      <c r="J30" s="17">
        <f t="shared" si="6"/>
        <v>0.39125000000000004</v>
      </c>
      <c r="K30" s="17">
        <f t="shared" si="7"/>
        <v>0.5174193548387096</v>
      </c>
      <c r="L30" s="17">
        <f t="shared" si="8"/>
        <v>0.29259259259259263</v>
      </c>
      <c r="M30">
        <f t="shared" si="9"/>
        <v>0.41859649122807019</v>
      </c>
      <c r="O30">
        <f>P30/I30</f>
        <v>4.3859649122807015E-2</v>
      </c>
      <c r="P30">
        <v>5</v>
      </c>
    </row>
    <row r="31" spans="1:21" x14ac:dyDescent="0.35">
      <c r="A31" t="s">
        <v>189</v>
      </c>
      <c r="B31">
        <v>7.02</v>
      </c>
      <c r="E31">
        <v>7.02</v>
      </c>
      <c r="F31">
        <v>15</v>
      </c>
      <c r="G31">
        <v>0</v>
      </c>
      <c r="H31">
        <v>0</v>
      </c>
      <c r="I31">
        <v>15</v>
      </c>
      <c r="J31" s="17">
        <f t="shared" si="6"/>
        <v>0.46799999999999997</v>
      </c>
      <c r="K31" s="17" t="e">
        <f t="shared" si="7"/>
        <v>#DIV/0!</v>
      </c>
      <c r="L31" s="17" t="e">
        <f t="shared" si="8"/>
        <v>#DIV/0!</v>
      </c>
      <c r="M31">
        <f t="shared" si="9"/>
        <v>0.46799999999999997</v>
      </c>
      <c r="O31">
        <f>P31/I31</f>
        <v>0</v>
      </c>
    </row>
    <row r="32" spans="1:21" x14ac:dyDescent="0.35">
      <c r="A32" t="s">
        <v>190</v>
      </c>
      <c r="B32">
        <v>2</v>
      </c>
      <c r="C32">
        <v>1.008</v>
      </c>
      <c r="D32">
        <v>3</v>
      </c>
      <c r="E32">
        <v>6.008</v>
      </c>
      <c r="F32">
        <v>5</v>
      </c>
      <c r="G32">
        <v>33</v>
      </c>
      <c r="H32">
        <v>21</v>
      </c>
      <c r="I32">
        <v>59</v>
      </c>
      <c r="J32" s="17">
        <f t="shared" si="6"/>
        <v>0.4</v>
      </c>
      <c r="K32" s="17">
        <f t="shared" si="7"/>
        <v>3.0545454545454546E-2</v>
      </c>
      <c r="L32" s="17">
        <f t="shared" si="8"/>
        <v>0.14285714285714285</v>
      </c>
      <c r="M32">
        <f t="shared" si="9"/>
        <v>0.10183050847457627</v>
      </c>
    </row>
    <row r="33" spans="1:13" x14ac:dyDescent="0.35">
      <c r="A33" t="s">
        <v>191</v>
      </c>
      <c r="B33">
        <v>1</v>
      </c>
      <c r="D33">
        <v>0</v>
      </c>
      <c r="E33">
        <v>1</v>
      </c>
      <c r="F33">
        <v>1</v>
      </c>
      <c r="G33">
        <v>0</v>
      </c>
      <c r="H33">
        <v>1</v>
      </c>
      <c r="I33">
        <v>2</v>
      </c>
      <c r="J33" s="17">
        <f t="shared" si="6"/>
        <v>1</v>
      </c>
      <c r="K33" s="17" t="e">
        <f t="shared" si="7"/>
        <v>#DIV/0!</v>
      </c>
      <c r="L33" s="17">
        <f t="shared" si="8"/>
        <v>0</v>
      </c>
      <c r="M33">
        <f t="shared" si="9"/>
        <v>0.5</v>
      </c>
    </row>
    <row r="34" spans="1:13" x14ac:dyDescent="0.35">
      <c r="A34" t="s">
        <v>192</v>
      </c>
      <c r="B34">
        <v>6</v>
      </c>
      <c r="C34">
        <v>11.969999999999999</v>
      </c>
      <c r="D34">
        <v>8.9</v>
      </c>
      <c r="E34">
        <v>26.869999999999997</v>
      </c>
      <c r="F34">
        <v>9</v>
      </c>
      <c r="G34">
        <v>18</v>
      </c>
      <c r="H34">
        <v>28</v>
      </c>
      <c r="I34">
        <v>55</v>
      </c>
      <c r="J34" s="17">
        <f t="shared" si="6"/>
        <v>0.66666666666666663</v>
      </c>
      <c r="K34" s="17">
        <f t="shared" si="7"/>
        <v>0.66499999999999992</v>
      </c>
      <c r="L34" s="17">
        <f t="shared" si="8"/>
        <v>0.31785714285714289</v>
      </c>
      <c r="M34">
        <f t="shared" si="9"/>
        <v>0.48854545454545451</v>
      </c>
    </row>
    <row r="35" spans="1:13" x14ac:dyDescent="0.35">
      <c r="A35" t="s">
        <v>193</v>
      </c>
      <c r="F35">
        <v>0</v>
      </c>
      <c r="G35">
        <v>0</v>
      </c>
      <c r="H35">
        <v>0</v>
      </c>
      <c r="I35">
        <v>0</v>
      </c>
      <c r="J35" s="17" t="e">
        <f t="shared" si="6"/>
        <v>#DIV/0!</v>
      </c>
      <c r="K35" s="17" t="e">
        <f t="shared" si="7"/>
        <v>#DIV/0!</v>
      </c>
      <c r="L35" s="17" t="e">
        <f t="shared" si="8"/>
        <v>#DIV/0!</v>
      </c>
      <c r="M35" t="e">
        <f t="shared" si="9"/>
        <v>#DIV/0!</v>
      </c>
    </row>
    <row r="36" spans="1:13" x14ac:dyDescent="0.35">
      <c r="A36" t="s">
        <v>194</v>
      </c>
      <c r="D36">
        <v>12</v>
      </c>
      <c r="E36">
        <v>12</v>
      </c>
      <c r="G36">
        <v>0</v>
      </c>
      <c r="H36">
        <v>12</v>
      </c>
      <c r="I36">
        <v>12</v>
      </c>
      <c r="J36" s="17" t="e">
        <f t="shared" si="6"/>
        <v>#DIV/0!</v>
      </c>
      <c r="K36" s="17" t="e">
        <f t="shared" si="7"/>
        <v>#DIV/0!</v>
      </c>
      <c r="L36" s="17">
        <f t="shared" si="8"/>
        <v>1</v>
      </c>
      <c r="M36">
        <f t="shared" si="9"/>
        <v>1</v>
      </c>
    </row>
    <row r="37" spans="1:13" x14ac:dyDescent="0.35">
      <c r="A37" t="s">
        <v>195</v>
      </c>
      <c r="G37">
        <v>0</v>
      </c>
      <c r="H37">
        <v>0</v>
      </c>
      <c r="I37">
        <v>0</v>
      </c>
      <c r="J37" s="17" t="e">
        <f t="shared" si="6"/>
        <v>#DIV/0!</v>
      </c>
      <c r="K37" s="17" t="e">
        <f t="shared" si="7"/>
        <v>#DIV/0!</v>
      </c>
      <c r="L37" s="17" t="e">
        <f t="shared" si="8"/>
        <v>#DIV/0!</v>
      </c>
      <c r="M37" t="e">
        <f t="shared" si="9"/>
        <v>#DIV/0!</v>
      </c>
    </row>
    <row r="38" spans="1:13" x14ac:dyDescent="0.35">
      <c r="A38" t="s">
        <v>196</v>
      </c>
      <c r="C38">
        <v>0</v>
      </c>
      <c r="D38">
        <v>6</v>
      </c>
      <c r="E38">
        <v>6</v>
      </c>
      <c r="G38">
        <v>7</v>
      </c>
      <c r="H38">
        <v>6</v>
      </c>
      <c r="I38">
        <v>13</v>
      </c>
      <c r="J38" s="17" t="e">
        <f t="shared" si="6"/>
        <v>#DIV/0!</v>
      </c>
      <c r="K38" s="17">
        <f t="shared" si="7"/>
        <v>0</v>
      </c>
      <c r="L38" s="17">
        <f t="shared" si="8"/>
        <v>1</v>
      </c>
      <c r="M38">
        <f t="shared" si="9"/>
        <v>0.46153846153846156</v>
      </c>
    </row>
    <row r="39" spans="1:13" x14ac:dyDescent="0.35">
      <c r="A39" t="s">
        <v>197</v>
      </c>
      <c r="C39">
        <v>1.98</v>
      </c>
      <c r="E39">
        <v>1.98</v>
      </c>
      <c r="G39">
        <v>6</v>
      </c>
      <c r="H39">
        <v>0</v>
      </c>
      <c r="I39">
        <v>6</v>
      </c>
      <c r="J39" s="17" t="e">
        <f t="shared" si="6"/>
        <v>#DIV/0!</v>
      </c>
      <c r="K39" s="17">
        <f t="shared" si="7"/>
        <v>0.33</v>
      </c>
      <c r="L39" s="17" t="e">
        <f t="shared" si="8"/>
        <v>#DIV/0!</v>
      </c>
      <c r="M39">
        <f t="shared" si="9"/>
        <v>0.33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E282-FAA3-4DCD-B548-7B6E10911F97}">
  <dimension ref="A1:AX20"/>
  <sheetViews>
    <sheetView workbookViewId="0">
      <selection activeCell="I3" sqref="I3"/>
    </sheetView>
  </sheetViews>
  <sheetFormatPr defaultRowHeight="14.5" x14ac:dyDescent="0.35"/>
  <sheetData>
    <row r="1" spans="1:50" ht="101.5" x14ac:dyDescent="0.35">
      <c r="A1" s="2" t="s">
        <v>24</v>
      </c>
      <c r="B1" s="2">
        <v>2005</v>
      </c>
      <c r="C1" s="2" t="s">
        <v>172</v>
      </c>
      <c r="D1" s="3" t="s">
        <v>170</v>
      </c>
      <c r="E1" s="3" t="s">
        <v>41</v>
      </c>
      <c r="F1" s="2" t="s">
        <v>66</v>
      </c>
      <c r="G1" s="3" t="s">
        <v>73</v>
      </c>
      <c r="H1" s="2" t="s">
        <v>51</v>
      </c>
      <c r="I1" s="2" t="s">
        <v>70</v>
      </c>
      <c r="J1" s="2" t="s">
        <v>79</v>
      </c>
      <c r="K1" s="2" t="s">
        <v>51</v>
      </c>
      <c r="L1" s="2" t="s">
        <v>111</v>
      </c>
      <c r="M1" s="3" t="s">
        <v>50</v>
      </c>
      <c r="N1" s="2" t="s">
        <v>50</v>
      </c>
      <c r="O1" s="3">
        <v>0</v>
      </c>
      <c r="P1" s="3">
        <v>0</v>
      </c>
      <c r="Q1" s="3">
        <v>1</v>
      </c>
      <c r="R1" s="3">
        <v>0</v>
      </c>
      <c r="S1" s="3"/>
      <c r="T1" s="3"/>
      <c r="U1" s="3"/>
      <c r="V1" s="3"/>
      <c r="W1" s="3">
        <v>0</v>
      </c>
      <c r="X1" s="3">
        <v>0</v>
      </c>
      <c r="Y1" s="3">
        <v>1</v>
      </c>
      <c r="Z1" s="3">
        <v>0</v>
      </c>
      <c r="AA1" s="3" t="s">
        <v>36</v>
      </c>
      <c r="AB1" s="3" t="s">
        <v>36</v>
      </c>
      <c r="AC1" s="3">
        <v>0</v>
      </c>
      <c r="AD1" s="3" t="s">
        <v>36</v>
      </c>
      <c r="AE1" s="3"/>
      <c r="AF1" s="3"/>
      <c r="AG1" s="3"/>
      <c r="AH1" s="3"/>
      <c r="AI1" s="3"/>
      <c r="AJ1" s="3"/>
      <c r="AK1" s="3"/>
      <c r="AL1" s="3"/>
      <c r="AM1" s="2" t="s">
        <v>51</v>
      </c>
      <c r="AN1" s="3" t="s">
        <v>120</v>
      </c>
      <c r="AO1" s="3" t="s">
        <v>51</v>
      </c>
      <c r="AP1" s="3" t="s">
        <v>51</v>
      </c>
      <c r="AQ1" s="3" t="s">
        <v>51</v>
      </c>
      <c r="AR1" t="s">
        <v>128</v>
      </c>
      <c r="AS1" t="s">
        <v>132</v>
      </c>
      <c r="AT1">
        <v>11</v>
      </c>
      <c r="AU1">
        <f>SUM(K1="Y",AM1="Y",AO1="Y",AP1="Y",AQ1="N")</f>
        <v>1</v>
      </c>
      <c r="AV1" s="3" t="s">
        <v>137</v>
      </c>
      <c r="AW1" t="s">
        <v>50</v>
      </c>
      <c r="AX1" t="s">
        <v>144</v>
      </c>
    </row>
    <row r="2" spans="1:50" ht="58" x14ac:dyDescent="0.35">
      <c r="A2" s="2" t="s">
        <v>6</v>
      </c>
      <c r="B2" s="2">
        <v>1973</v>
      </c>
      <c r="C2" s="5" t="s">
        <v>35</v>
      </c>
      <c r="D2" s="3" t="s">
        <v>39</v>
      </c>
      <c r="E2" s="3" t="s">
        <v>47</v>
      </c>
      <c r="F2" s="2" t="s">
        <v>56</v>
      </c>
      <c r="G2" s="3" t="s">
        <v>73</v>
      </c>
      <c r="H2" s="2" t="s">
        <v>51</v>
      </c>
      <c r="I2" s="2" t="s">
        <v>77</v>
      </c>
      <c r="J2" s="2" t="s">
        <v>79</v>
      </c>
      <c r="K2" s="2" t="s">
        <v>51</v>
      </c>
      <c r="L2" s="2" t="s">
        <v>110</v>
      </c>
      <c r="M2" s="3" t="s">
        <v>50</v>
      </c>
      <c r="N2" s="2" t="s">
        <v>50</v>
      </c>
      <c r="O2" s="3"/>
      <c r="P2" s="3"/>
      <c r="Q2" s="3"/>
      <c r="R2" s="3"/>
      <c r="S2" s="3"/>
      <c r="T2" s="3"/>
      <c r="U2" s="3"/>
      <c r="V2" s="3"/>
      <c r="W2" s="3"/>
      <c r="X2" s="3"/>
      <c r="Y2" s="3"/>
      <c r="Z2" s="3"/>
      <c r="AA2" s="3"/>
      <c r="AB2" s="3"/>
      <c r="AC2" s="3"/>
      <c r="AD2" s="3"/>
      <c r="AE2" s="3">
        <v>4</v>
      </c>
      <c r="AF2" s="3">
        <v>4</v>
      </c>
      <c r="AG2" s="3"/>
      <c r="AH2" s="3"/>
      <c r="AI2" s="3">
        <v>0</v>
      </c>
      <c r="AJ2" s="3">
        <v>0.25</v>
      </c>
      <c r="AK2" s="3"/>
      <c r="AL2" s="3"/>
      <c r="AM2" s="2" t="s">
        <v>51</v>
      </c>
      <c r="AN2" s="3" t="s">
        <v>121</v>
      </c>
      <c r="AO2" s="3" t="s">
        <v>51</v>
      </c>
      <c r="AP2" s="3" t="s">
        <v>50</v>
      </c>
      <c r="AQ2" s="3" t="s">
        <v>50</v>
      </c>
      <c r="AR2" t="s">
        <v>127</v>
      </c>
      <c r="AS2" t="s">
        <v>130</v>
      </c>
      <c r="AT2">
        <v>2</v>
      </c>
      <c r="AU2">
        <f>SUM(K2="Y",AM2="Y",AO2="Y",AP2="Y",AQ2="N")</f>
        <v>1</v>
      </c>
      <c r="AV2" s="3" t="s">
        <v>142</v>
      </c>
      <c r="AW2" t="s">
        <v>51</v>
      </c>
    </row>
    <row r="3" spans="1:50" ht="58" x14ac:dyDescent="0.35">
      <c r="A3" s="2" t="s">
        <v>28</v>
      </c>
      <c r="B3" s="2">
        <v>2011</v>
      </c>
      <c r="C3" s="2" t="s">
        <v>172</v>
      </c>
      <c r="D3" s="3" t="s">
        <v>42</v>
      </c>
      <c r="E3" s="3" t="s">
        <v>49</v>
      </c>
      <c r="F3" s="2" t="s">
        <v>68</v>
      </c>
      <c r="G3" s="3" t="s">
        <v>73</v>
      </c>
      <c r="H3" s="2" t="s">
        <v>51</v>
      </c>
      <c r="I3" s="2" t="s">
        <v>70</v>
      </c>
      <c r="J3" s="2" t="s">
        <v>79</v>
      </c>
      <c r="K3" s="2" t="s">
        <v>51</v>
      </c>
      <c r="L3" s="2" t="s">
        <v>112</v>
      </c>
      <c r="M3" s="3" t="s">
        <v>50</v>
      </c>
      <c r="N3" s="2" t="s">
        <v>51</v>
      </c>
      <c r="O3" s="3">
        <v>1</v>
      </c>
      <c r="P3" s="3">
        <v>0</v>
      </c>
      <c r="Q3" s="3">
        <v>0</v>
      </c>
      <c r="R3" s="3">
        <v>0</v>
      </c>
      <c r="S3" s="3">
        <v>1</v>
      </c>
      <c r="T3" s="3" t="s">
        <v>36</v>
      </c>
      <c r="U3" s="3" t="s">
        <v>36</v>
      </c>
      <c r="V3" s="3" t="s">
        <v>36</v>
      </c>
      <c r="W3" s="3">
        <v>1</v>
      </c>
      <c r="X3" s="3">
        <v>0</v>
      </c>
      <c r="Y3" s="3">
        <v>0</v>
      </c>
      <c r="Z3" s="3">
        <v>0</v>
      </c>
      <c r="AA3" s="3">
        <v>1</v>
      </c>
      <c r="AB3" s="3" t="s">
        <v>36</v>
      </c>
      <c r="AC3" s="3" t="s">
        <v>36</v>
      </c>
      <c r="AD3" s="3" t="s">
        <v>36</v>
      </c>
      <c r="AE3" s="3">
        <v>1</v>
      </c>
      <c r="AF3" s="3">
        <v>0</v>
      </c>
      <c r="AG3" s="3">
        <v>0</v>
      </c>
      <c r="AH3" s="3">
        <v>0</v>
      </c>
      <c r="AI3" s="3">
        <v>1</v>
      </c>
      <c r="AJ3" s="3" t="s">
        <v>36</v>
      </c>
      <c r="AK3" s="3" t="s">
        <v>36</v>
      </c>
      <c r="AL3" s="3" t="s">
        <v>36</v>
      </c>
      <c r="AM3" s="2" t="s">
        <v>50</v>
      </c>
      <c r="AN3" s="3" t="s">
        <v>122</v>
      </c>
      <c r="AO3" s="3" t="s">
        <v>51</v>
      </c>
      <c r="AP3" s="3" t="s">
        <v>50</v>
      </c>
      <c r="AQ3" s="3" t="s">
        <v>51</v>
      </c>
      <c r="AR3" t="s">
        <v>128</v>
      </c>
      <c r="AS3" t="s">
        <v>132</v>
      </c>
      <c r="AT3">
        <v>7</v>
      </c>
      <c r="AU3">
        <f>SUM(K3="Y",AM3="Y",AO3="Y",AP3="Y",AQ3="N")</f>
        <v>3</v>
      </c>
      <c r="AV3" s="3" t="s">
        <v>137</v>
      </c>
      <c r="AW3" t="s">
        <v>50</v>
      </c>
      <c r="AX3" t="s">
        <v>146</v>
      </c>
    </row>
    <row r="11" spans="1:50" x14ac:dyDescent="0.35">
      <c r="K11" t="s">
        <v>224</v>
      </c>
    </row>
    <row r="12" spans="1:50" ht="58" x14ac:dyDescent="0.35">
      <c r="K12" s="2" t="s">
        <v>6</v>
      </c>
      <c r="L12" s="2">
        <v>1973</v>
      </c>
      <c r="M12" s="5" t="s">
        <v>35</v>
      </c>
      <c r="N12" s="3" t="s">
        <v>39</v>
      </c>
      <c r="O12" s="3" t="s">
        <v>47</v>
      </c>
      <c r="P12" s="2" t="s">
        <v>56</v>
      </c>
      <c r="Q12" s="3" t="s">
        <v>73</v>
      </c>
      <c r="R12" s="2" t="s">
        <v>51</v>
      </c>
      <c r="S12" s="2" t="s">
        <v>77</v>
      </c>
      <c r="T12" s="2" t="s">
        <v>79</v>
      </c>
      <c r="U12" s="2" t="s">
        <v>51</v>
      </c>
      <c r="V12" s="2" t="s">
        <v>110</v>
      </c>
      <c r="W12" s="3" t="s">
        <v>50</v>
      </c>
      <c r="X12" s="2" t="s">
        <v>50</v>
      </c>
      <c r="Y12" s="3"/>
      <c r="Z12" s="3"/>
      <c r="AA12" s="3"/>
      <c r="AB12" s="3"/>
      <c r="AC12" s="3"/>
      <c r="AD12" s="3"/>
      <c r="AE12" s="3"/>
      <c r="AF12" s="3"/>
      <c r="AG12" s="3"/>
      <c r="AH12" s="3"/>
      <c r="AI12" s="3"/>
      <c r="AJ12" s="3"/>
      <c r="AK12" s="3"/>
      <c r="AL12" s="3"/>
      <c r="AM12" s="3"/>
      <c r="AN12" s="3"/>
      <c r="AO12" s="3">
        <v>14</v>
      </c>
      <c r="AP12" s="3">
        <v>20</v>
      </c>
      <c r="AQ12" s="3"/>
      <c r="AR12" s="3"/>
      <c r="AS12" s="3">
        <v>0.43</v>
      </c>
      <c r="AT12" s="3">
        <v>0.1</v>
      </c>
      <c r="AU12" s="3"/>
      <c r="AV12" s="3"/>
      <c r="AW12" s="2" t="s">
        <v>51</v>
      </c>
      <c r="AX12" s="3" t="s">
        <v>121</v>
      </c>
    </row>
    <row r="13" spans="1:50" ht="101.5" x14ac:dyDescent="0.35">
      <c r="K13" s="2" t="s">
        <v>24</v>
      </c>
      <c r="L13" s="2">
        <v>2005</v>
      </c>
      <c r="M13" s="2" t="s">
        <v>172</v>
      </c>
      <c r="N13" s="3" t="s">
        <v>170</v>
      </c>
      <c r="O13" s="3" t="s">
        <v>41</v>
      </c>
      <c r="P13" s="2" t="s">
        <v>66</v>
      </c>
      <c r="Q13" s="3" t="s">
        <v>73</v>
      </c>
      <c r="R13" s="2" t="s">
        <v>51</v>
      </c>
      <c r="S13" s="2" t="s">
        <v>70</v>
      </c>
      <c r="T13" s="2" t="s">
        <v>79</v>
      </c>
      <c r="U13" s="2" t="s">
        <v>51</v>
      </c>
      <c r="V13" s="2" t="s">
        <v>111</v>
      </c>
      <c r="W13" s="3" t="s">
        <v>50</v>
      </c>
      <c r="X13" s="2" t="s">
        <v>50</v>
      </c>
      <c r="Y13" s="3"/>
      <c r="Z13" s="3"/>
      <c r="AA13" s="3"/>
      <c r="AB13" s="3"/>
      <c r="AC13" s="3"/>
      <c r="AD13" s="3"/>
      <c r="AE13" s="3"/>
      <c r="AF13" s="3"/>
      <c r="AG13" s="3">
        <v>0</v>
      </c>
      <c r="AH13" s="3">
        <v>0</v>
      </c>
      <c r="AI13" s="3">
        <v>1</v>
      </c>
      <c r="AJ13" s="3">
        <v>0</v>
      </c>
      <c r="AK13" s="3"/>
      <c r="AL13" s="3"/>
      <c r="AM13" s="3"/>
      <c r="AN13" s="3"/>
      <c r="AO13" s="3"/>
      <c r="AP13" s="3"/>
      <c r="AQ13" s="3"/>
      <c r="AR13" s="3"/>
      <c r="AS13" s="3"/>
      <c r="AT13" s="3"/>
      <c r="AU13" s="3"/>
      <c r="AV13" s="3"/>
      <c r="AW13" s="2" t="s">
        <v>51</v>
      </c>
      <c r="AX13" s="3" t="s">
        <v>120</v>
      </c>
    </row>
    <row r="14" spans="1:50" ht="58" x14ac:dyDescent="0.35">
      <c r="K14" s="2" t="s">
        <v>28</v>
      </c>
      <c r="L14" s="2">
        <v>2011</v>
      </c>
      <c r="M14" s="2" t="s">
        <v>172</v>
      </c>
      <c r="N14" s="3" t="s">
        <v>42</v>
      </c>
      <c r="O14" s="3" t="s">
        <v>49</v>
      </c>
      <c r="P14" s="2" t="s">
        <v>68</v>
      </c>
      <c r="Q14" s="3" t="s">
        <v>73</v>
      </c>
      <c r="R14" s="2" t="s">
        <v>51</v>
      </c>
      <c r="S14" s="2" t="s">
        <v>70</v>
      </c>
      <c r="T14" s="2" t="s">
        <v>79</v>
      </c>
      <c r="U14" s="2" t="s">
        <v>51</v>
      </c>
      <c r="V14" s="2" t="s">
        <v>112</v>
      </c>
      <c r="W14" s="3" t="s">
        <v>50</v>
      </c>
      <c r="X14" s="2" t="s">
        <v>51</v>
      </c>
      <c r="Y14" s="3"/>
      <c r="Z14" s="3"/>
      <c r="AA14" s="3"/>
      <c r="AB14" s="3"/>
      <c r="AC14" s="3"/>
      <c r="AD14" s="3"/>
      <c r="AE14" s="3"/>
      <c r="AF14" s="3"/>
      <c r="AG14" s="3"/>
      <c r="AH14" s="3"/>
      <c r="AI14" s="3"/>
      <c r="AJ14" s="3"/>
      <c r="AK14" s="3"/>
      <c r="AL14" s="3"/>
      <c r="AM14" s="3"/>
      <c r="AN14" s="3"/>
      <c r="AO14" s="3"/>
      <c r="AP14" s="3"/>
      <c r="AQ14" s="3"/>
      <c r="AR14" s="3"/>
      <c r="AS14" s="3"/>
      <c r="AT14" s="3"/>
      <c r="AU14" s="3"/>
      <c r="AV14" s="3"/>
      <c r="AW14" s="2" t="s">
        <v>50</v>
      </c>
      <c r="AX14" s="3" t="s">
        <v>122</v>
      </c>
    </row>
    <row r="15" spans="1:50" x14ac:dyDescent="0.35">
      <c r="N15" s="3"/>
      <c r="O15" s="3"/>
      <c r="Q15" s="3"/>
      <c r="Y15" s="3"/>
      <c r="Z15" s="3"/>
      <c r="AA15" s="3"/>
      <c r="AB15" s="3"/>
      <c r="AC15" s="3"/>
      <c r="AD15" s="3"/>
      <c r="AE15" s="3"/>
      <c r="AF15" s="3"/>
      <c r="AG15" s="3"/>
      <c r="AH15" s="3"/>
      <c r="AI15" s="3"/>
      <c r="AJ15" s="3"/>
      <c r="AK15" s="3"/>
      <c r="AL15" s="3"/>
      <c r="AM15" s="3"/>
      <c r="AN15" s="3"/>
      <c r="AO15" s="3"/>
      <c r="AP15" s="3"/>
      <c r="AQ15" s="3"/>
      <c r="AR15" s="3"/>
      <c r="AS15" s="3"/>
      <c r="AT15" s="3"/>
      <c r="AU15" s="3"/>
      <c r="AV15" s="3"/>
    </row>
    <row r="16" spans="1:50" x14ac:dyDescent="0.35">
      <c r="N16" s="3"/>
      <c r="O16" s="3"/>
      <c r="Q16" s="3"/>
      <c r="Y16" s="3"/>
      <c r="Z16" s="3"/>
      <c r="AA16" s="3"/>
      <c r="AB16" s="3"/>
      <c r="AC16" s="3"/>
      <c r="AD16" s="3"/>
      <c r="AE16" s="3"/>
      <c r="AF16" s="3"/>
      <c r="AG16" s="3"/>
      <c r="AH16" s="3"/>
      <c r="AI16" s="3"/>
      <c r="AJ16" s="3"/>
      <c r="AK16" s="3"/>
      <c r="AL16" s="3"/>
      <c r="AM16" s="3"/>
      <c r="AN16" s="3"/>
      <c r="AO16" s="3"/>
      <c r="AP16" s="3"/>
      <c r="AQ16" s="3"/>
      <c r="AR16" s="3"/>
      <c r="AS16" s="3"/>
      <c r="AT16" s="3"/>
      <c r="AU16" s="3"/>
      <c r="AV16" s="3"/>
    </row>
    <row r="17" spans="14:48" x14ac:dyDescent="0.35">
      <c r="N17" s="3"/>
      <c r="O17" s="3"/>
      <c r="Q17" s="3"/>
      <c r="Y17" s="3"/>
      <c r="Z17" s="3"/>
      <c r="AA17" s="3"/>
      <c r="AB17" s="3"/>
      <c r="AC17" s="3"/>
      <c r="AD17" s="3"/>
      <c r="AE17" s="3"/>
      <c r="AF17" s="3"/>
      <c r="AG17" s="3"/>
      <c r="AH17" s="3"/>
      <c r="AI17" s="3"/>
      <c r="AJ17" s="3"/>
      <c r="AK17" s="3"/>
      <c r="AL17" s="3"/>
      <c r="AM17" s="3"/>
      <c r="AN17" s="3"/>
      <c r="AO17" s="3"/>
      <c r="AP17" s="3"/>
      <c r="AQ17" s="3"/>
      <c r="AR17" s="3"/>
      <c r="AS17" s="3"/>
      <c r="AT17" s="3"/>
      <c r="AU17" s="3"/>
      <c r="AV17" s="3"/>
    </row>
    <row r="18" spans="14:48" x14ac:dyDescent="0.35">
      <c r="N18" s="3"/>
      <c r="O18" s="3"/>
      <c r="Q18" s="3"/>
      <c r="Y18" s="3"/>
      <c r="Z18" s="3"/>
      <c r="AA18" s="3"/>
      <c r="AB18" s="3"/>
      <c r="AC18" s="3"/>
      <c r="AD18" s="3"/>
      <c r="AE18" s="3"/>
      <c r="AF18" s="3"/>
      <c r="AG18" s="3"/>
      <c r="AH18" s="3"/>
      <c r="AI18" s="3"/>
      <c r="AJ18" s="3"/>
      <c r="AK18" s="3"/>
      <c r="AL18" s="3"/>
      <c r="AM18" s="3"/>
      <c r="AN18" s="3"/>
      <c r="AO18" s="3"/>
      <c r="AP18" s="3"/>
      <c r="AQ18" s="3"/>
      <c r="AR18" s="3"/>
      <c r="AS18" s="3"/>
      <c r="AT18" s="3"/>
      <c r="AU18" s="3"/>
      <c r="AV18" s="3"/>
    </row>
    <row r="19" spans="14:48" x14ac:dyDescent="0.35">
      <c r="N19" s="3"/>
      <c r="O19" s="3"/>
      <c r="Q19" s="3"/>
      <c r="Y19" s="3"/>
      <c r="Z19" s="3"/>
      <c r="AA19" s="3"/>
      <c r="AB19" s="3"/>
      <c r="AC19" s="3"/>
      <c r="AD19" s="3"/>
      <c r="AE19" s="3"/>
      <c r="AF19" s="3"/>
      <c r="AG19" s="3"/>
      <c r="AH19" s="3"/>
      <c r="AI19" s="3"/>
      <c r="AJ19" s="3"/>
      <c r="AK19" s="3"/>
      <c r="AL19" s="3"/>
      <c r="AM19" s="3"/>
      <c r="AN19" s="3"/>
      <c r="AO19" s="3"/>
      <c r="AP19" s="3"/>
      <c r="AQ19" s="3"/>
      <c r="AR19" s="3"/>
      <c r="AS19" s="3"/>
      <c r="AT19" s="3"/>
      <c r="AU19" s="3"/>
      <c r="AV19" s="3"/>
    </row>
    <row r="20" spans="14:48" x14ac:dyDescent="0.35">
      <c r="N20" s="3"/>
      <c r="O20" s="3"/>
      <c r="Q20" s="3"/>
      <c r="Y20" s="3"/>
      <c r="Z20" s="3"/>
      <c r="AA20" s="3"/>
      <c r="AB20" s="3"/>
      <c r="AC20" s="3"/>
      <c r="AD20" s="3"/>
      <c r="AE20" s="3"/>
      <c r="AF20" s="3"/>
      <c r="AG20" s="3"/>
      <c r="AH20" s="3"/>
      <c r="AI20" s="3"/>
      <c r="AJ20" s="3"/>
      <c r="AK20" s="3"/>
      <c r="AL20" s="3"/>
      <c r="AM20" s="3"/>
      <c r="AN20" s="3"/>
      <c r="AO20" s="3"/>
      <c r="AP20" s="3"/>
      <c r="AQ20" s="3"/>
      <c r="AR20" s="3"/>
      <c r="AS20" s="3"/>
      <c r="AT20" s="3"/>
      <c r="AU20" s="3"/>
      <c r="AV20" s="3"/>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6C87F-DE73-45CD-B587-355BB8B78A91}">
  <dimension ref="A1:D19"/>
  <sheetViews>
    <sheetView workbookViewId="0">
      <selection activeCell="B6" sqref="B6"/>
    </sheetView>
  </sheetViews>
  <sheetFormatPr defaultRowHeight="14.5" x14ac:dyDescent="0.35"/>
  <cols>
    <col min="1" max="1" width="45.453125" bestFit="1" customWidth="1"/>
    <col min="2" max="2" width="17.26953125" bestFit="1" customWidth="1"/>
    <col min="3" max="3" width="10.26953125" bestFit="1" customWidth="1"/>
    <col min="4" max="4" width="11.26953125" bestFit="1" customWidth="1"/>
    <col min="5" max="5" width="9.7265625" bestFit="1" customWidth="1"/>
    <col min="6" max="6" width="7.453125" bestFit="1" customWidth="1"/>
    <col min="7" max="7" width="12" bestFit="1" customWidth="1"/>
    <col min="8" max="8" width="7.453125" bestFit="1" customWidth="1"/>
    <col min="9" max="9" width="11.26953125" bestFit="1" customWidth="1"/>
    <col min="10" max="26" width="44.54296875" bestFit="1" customWidth="1"/>
    <col min="27" max="27" width="23" bestFit="1" customWidth="1"/>
    <col min="28" max="28" width="48" bestFit="1" customWidth="1"/>
    <col min="29" max="29" width="44.1796875" bestFit="1" customWidth="1"/>
    <col min="30" max="30" width="44.453125" bestFit="1" customWidth="1"/>
    <col min="31" max="31" width="40.54296875" bestFit="1" customWidth="1"/>
    <col min="32" max="32" width="47.1796875" bestFit="1" customWidth="1"/>
    <col min="33" max="33" width="43.26953125" bestFit="1" customWidth="1"/>
    <col min="34" max="34" width="43.54296875" bestFit="1" customWidth="1"/>
    <col min="35" max="35" width="39.7265625" bestFit="1" customWidth="1"/>
    <col min="36" max="36" width="49.54296875" bestFit="1" customWidth="1"/>
    <col min="37" max="37" width="45.7265625" bestFit="1" customWidth="1"/>
    <col min="38" max="38" width="46" bestFit="1" customWidth="1"/>
    <col min="39" max="39" width="41.7265625" bestFit="1" customWidth="1"/>
  </cols>
  <sheetData>
    <row r="1" spans="1:4" x14ac:dyDescent="0.35">
      <c r="A1" s="11" t="s">
        <v>37</v>
      </c>
      <c r="B1" t="s">
        <v>156</v>
      </c>
    </row>
    <row r="2" spans="1:4" x14ac:dyDescent="0.35">
      <c r="A2" s="11" t="s">
        <v>83</v>
      </c>
      <c r="B2" t="s">
        <v>155</v>
      </c>
    </row>
    <row r="3" spans="1:4" x14ac:dyDescent="0.35">
      <c r="A3" s="11" t="s">
        <v>82</v>
      </c>
      <c r="B3" t="s">
        <v>50</v>
      </c>
    </row>
    <row r="5" spans="1:4" x14ac:dyDescent="0.35">
      <c r="B5" s="11" t="s">
        <v>152</v>
      </c>
    </row>
    <row r="6" spans="1:4" x14ac:dyDescent="0.35">
      <c r="A6" s="11" t="s">
        <v>158</v>
      </c>
      <c r="B6" t="s">
        <v>77</v>
      </c>
      <c r="C6" t="s">
        <v>70</v>
      </c>
      <c r="D6" t="s">
        <v>153</v>
      </c>
    </row>
    <row r="7" spans="1:4" x14ac:dyDescent="0.35">
      <c r="A7" s="12" t="s">
        <v>151</v>
      </c>
      <c r="B7">
        <v>1</v>
      </c>
      <c r="C7">
        <v>1</v>
      </c>
      <c r="D7">
        <v>2</v>
      </c>
    </row>
    <row r="8" spans="1:4" x14ac:dyDescent="0.35">
      <c r="A8" s="12" t="s">
        <v>157</v>
      </c>
      <c r="B8" t="e">
        <v>#DIV/0!</v>
      </c>
      <c r="C8" t="e">
        <v>#DIV/0!</v>
      </c>
      <c r="D8" t="e">
        <v>#DIV/0!</v>
      </c>
    </row>
    <row r="9" spans="1:4" x14ac:dyDescent="0.35">
      <c r="A9" s="12" t="s">
        <v>159</v>
      </c>
      <c r="B9" t="e">
        <v>#DIV/0!</v>
      </c>
      <c r="C9" t="e">
        <v>#DIV/0!</v>
      </c>
      <c r="D9" t="e">
        <v>#DIV/0!</v>
      </c>
    </row>
    <row r="10" spans="1:4" x14ac:dyDescent="0.35">
      <c r="A10" s="12" t="s">
        <v>160</v>
      </c>
      <c r="B10">
        <v>0.33</v>
      </c>
      <c r="C10">
        <v>0.4</v>
      </c>
      <c r="D10">
        <v>0.36499999999999999</v>
      </c>
    </row>
    <row r="11" spans="1:4" x14ac:dyDescent="0.35">
      <c r="A11" s="12" t="s">
        <v>161</v>
      </c>
      <c r="B11" t="e">
        <v>#DIV/0!</v>
      </c>
      <c r="C11" t="e">
        <v>#DIV/0!</v>
      </c>
      <c r="D11" t="e">
        <v>#DIV/0!</v>
      </c>
    </row>
    <row r="12" spans="1:4" x14ac:dyDescent="0.35">
      <c r="A12" s="12" t="s">
        <v>162</v>
      </c>
      <c r="C12" t="e">
        <v>#DIV/0!</v>
      </c>
      <c r="D12" t="e">
        <v>#DIV/0!</v>
      </c>
    </row>
    <row r="13" spans="1:4" x14ac:dyDescent="0.35">
      <c r="A13" s="12" t="s">
        <v>163</v>
      </c>
      <c r="C13" t="e">
        <v>#DIV/0!</v>
      </c>
      <c r="D13" t="e">
        <v>#DIV/0!</v>
      </c>
    </row>
    <row r="14" spans="1:4" x14ac:dyDescent="0.35">
      <c r="A14" s="12" t="s">
        <v>164</v>
      </c>
      <c r="C14">
        <v>0</v>
      </c>
      <c r="D14">
        <v>0</v>
      </c>
    </row>
    <row r="15" spans="1:4" x14ac:dyDescent="0.35">
      <c r="A15" s="12" t="s">
        <v>165</v>
      </c>
      <c r="C15" t="e">
        <v>#DIV/0!</v>
      </c>
      <c r="D15" t="e">
        <v>#DIV/0!</v>
      </c>
    </row>
    <row r="16" spans="1:4" x14ac:dyDescent="0.35">
      <c r="A16" s="12" t="s">
        <v>166</v>
      </c>
      <c r="B16" t="e">
        <v>#DIV/0!</v>
      </c>
      <c r="C16" t="e">
        <v>#DIV/0!</v>
      </c>
      <c r="D16" t="e">
        <v>#DIV/0!</v>
      </c>
    </row>
    <row r="17" spans="1:4" x14ac:dyDescent="0.35">
      <c r="A17" s="12" t="s">
        <v>167</v>
      </c>
      <c r="B17" t="e">
        <v>#DIV/0!</v>
      </c>
      <c r="C17" t="e">
        <v>#DIV/0!</v>
      </c>
      <c r="D17" t="e">
        <v>#DIV/0!</v>
      </c>
    </row>
    <row r="18" spans="1:4" x14ac:dyDescent="0.35">
      <c r="A18" s="12" t="s">
        <v>168</v>
      </c>
      <c r="B18">
        <v>0.17</v>
      </c>
      <c r="C18">
        <v>0.4</v>
      </c>
      <c r="D18">
        <v>0.28500000000000003</v>
      </c>
    </row>
    <row r="19" spans="1:4" x14ac:dyDescent="0.35">
      <c r="A19" s="12" t="s">
        <v>169</v>
      </c>
      <c r="B19" t="e">
        <v>#DIV/0!</v>
      </c>
      <c r="C19" t="e">
        <v>#DIV/0!</v>
      </c>
      <c r="D19" t="e">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Bivariate results</vt:lpstr>
      <vt:lpstr>Multivariate results</vt:lpstr>
      <vt:lpstr>pivot tables for IVs</vt:lpstr>
      <vt:lpstr>Bivariate DV by IV</vt:lpstr>
      <vt:lpstr>Simple DV by IV</vt:lpstr>
      <vt:lpstr>No. of questions analyzed</vt:lpstr>
      <vt:lpstr>Weighted Bivariate DV by Iv</vt:lpstr>
      <vt:lpstr>extras</vt:lpstr>
      <vt:lpstr>Multivariate DV by 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Ujjayini Das</dc:creator>
  <cp:lastModifiedBy>Ujjayini Das</cp:lastModifiedBy>
  <dcterms:created xsi:type="dcterms:W3CDTF">2025-10-14T14:16:16Z</dcterms:created>
  <dcterms:modified xsi:type="dcterms:W3CDTF">2026-04-14T18:13:07Z</dcterms:modified>
</cp:coreProperties>
</file>